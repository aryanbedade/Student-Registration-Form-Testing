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First" sheetId="1" state="visible" r:id="rId3"/>
    <sheet name="Test Scenarios" sheetId="2" state="visible" r:id="rId4"/>
    <sheet name="Test Cases" sheetId="3" state="visible" r:id="rId5"/>
    <sheet name="Defect Log" sheetId="4" state="visible" r:id="rId6"/>
    <sheet name="Summary" sheetId="5" state="visible" r:id="rId7"/>
  </sheets>
  <definedNames>
    <definedName function="false" hidden="true" localSheetId="2" name="_xlnm._FilterDatabase" vbProcedure="false">'Test Cases'!$A$1:$P$41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<sst xmlns="http://schemas.openxmlformats.org/spreadsheetml/2006/main" count="604" uniqueCount="302">
  <si>
    <t xml:space="preserve">Project 2: Student Registration Form, Functional and Validation Testing</t>
  </si>
  <si>
    <t xml:space="preserve">Application under test</t>
  </si>
  <si>
    <t xml:space="preserve">https://demoqa.com/automation-practice-form (practice site for testers)</t>
  </si>
  <si>
    <t xml:space="preserve">Tester</t>
  </si>
  <si>
    <t xml:space="preserve">Aryan Bedade  (edit if needed)</t>
  </si>
  <si>
    <t xml:space="preserve">Purpose</t>
  </si>
  <si>
    <t xml:space="preserve">Starter test suite. The test design (scenarios, steps, data, expected results) is prepared for you. YOU must execute every test case on the live site and fill in the yellow columns with what really happened.</t>
  </si>
  <si>
    <t xml:space="preserve">Cells you must edit</t>
  </si>
  <si>
    <t xml:space="preserve">Test Cases sheet: yellow columns  Actual Result, Status, Browser, Executed On, Defect ID.
Defect Log sheet: add one row for every real bug you find (use IDs like DEF-001).
Do not edit the Summary sheet; it calculates automatically.</t>
  </si>
  <si>
    <t xml:space="preserve">Format example (Actual Result)</t>
  </si>
  <si>
    <t xml:space="preserve">Error message 'Your email or password is incorrect!' displayed in red below the form. User stayed on login page.</t>
  </si>
  <si>
    <t xml:space="preserve">Format example (Executed On)</t>
  </si>
  <si>
    <t xml:space="preserve">2026-10-12</t>
  </si>
  <si>
    <t xml:space="preserve">Status values</t>
  </si>
  <si>
    <t xml:space="preserve">Pass / Fail / Blocked / Not Run   (all rows start as Not Run)</t>
  </si>
  <si>
    <t xml:space="preserve">IMPORTANT</t>
  </si>
  <si>
    <t xml:space="preserve">Expected results were written from how this type of feature normally behaves. Websites change. If the live site behaves differently for a reason that is NOT a bug (for example a different message wording), correct the Expected Result column first, then execute. Where the expected result says 'record behaviour', no rule is documented, so decide from what you see whether it is a defect and explain in the Defect Log.</t>
  </si>
  <si>
    <t xml:space="preserve">Rule for honesty</t>
  </si>
  <si>
    <t xml:space="preserve">Never mark Pass without running the test. Only log defects you reproduced at least twice with screenshots saved in the screenshots folder.</t>
  </si>
  <si>
    <t xml:space="preserve">Mandatory fields on this form</t>
  </si>
  <si>
    <t xml:space="preserve">First Name, Last Name, Gender, Mobile (10 digits). Verify this yourself before executing and edit test cases if it differs.</t>
  </si>
  <si>
    <t xml:space="preserve">Note on duplicates</t>
  </si>
  <si>
    <t xml:space="preserve">This page has no database, so a true duplicate-record check is not possible. SUM-03 only records what happens on repeat submission.</t>
  </si>
  <si>
    <t xml:space="preserve">Yellow = you fill this in</t>
  </si>
  <si>
    <t xml:space="preserve">Scenario ID</t>
  </si>
  <si>
    <t xml:space="preserve">Module</t>
  </si>
  <si>
    <t xml:space="preserve">Scenario</t>
  </si>
  <si>
    <t xml:space="preserve">No. of Test Cases</t>
  </si>
  <si>
    <t xml:space="preserve">SC-01</t>
  </si>
  <si>
    <t xml:space="preserve">Mandatory Fields</t>
  </si>
  <si>
    <t xml:space="preserve">Submit form with all, only mandatory, and no fields</t>
  </si>
  <si>
    <t xml:space="preserve">SC-02</t>
  </si>
  <si>
    <t xml:space="preserve">Each mandatory field left blank</t>
  </si>
  <si>
    <t xml:space="preserve">SC-03</t>
  </si>
  <si>
    <t xml:space="preserve">Name Fields</t>
  </si>
  <si>
    <t xml:space="preserve">Name field input validation</t>
  </si>
  <si>
    <t xml:space="preserve">SC-04</t>
  </si>
  <si>
    <t xml:space="preserve">Email</t>
  </si>
  <si>
    <t xml:space="preserve">Email format validation</t>
  </si>
  <si>
    <t xml:space="preserve">SC-05</t>
  </si>
  <si>
    <t xml:space="preserve">Mobile Number</t>
  </si>
  <si>
    <t xml:space="preserve">Mobile number length and character validation</t>
  </si>
  <si>
    <t xml:space="preserve">SC-06</t>
  </si>
  <si>
    <t xml:space="preserve">Date of Birth</t>
  </si>
  <si>
    <t xml:space="preserve">Date picker and typed date validation</t>
  </si>
  <si>
    <t xml:space="preserve">SC-07</t>
  </si>
  <si>
    <t xml:space="preserve">Subjects / Hobbies / Picture</t>
  </si>
  <si>
    <t xml:space="preserve">Subjects, hobbies and picture upload</t>
  </si>
  <si>
    <t xml:space="preserve">SC-08</t>
  </si>
  <si>
    <t xml:space="preserve">Address / State / City</t>
  </si>
  <si>
    <t xml:space="preserve">Address and dependent State / City dropdowns</t>
  </si>
  <si>
    <t xml:space="preserve">SC-09</t>
  </si>
  <si>
    <t xml:space="preserve">Submission</t>
  </si>
  <si>
    <t xml:space="preserve">Submission result, repeat submission and usability</t>
  </si>
  <si>
    <t xml:space="preserve">TC ID</t>
  </si>
  <si>
    <t xml:space="preserve">Test Case Title</t>
  </si>
  <si>
    <t xml:space="preserve">Preconditions</t>
  </si>
  <si>
    <t xml:space="preserve">Test Steps</t>
  </si>
  <si>
    <t xml:space="preserve">Test Data</t>
  </si>
  <si>
    <t xml:space="preserve">Expected Result</t>
  </si>
  <si>
    <t xml:space="preserve">Type</t>
  </si>
  <si>
    <t xml:space="preserve">Technique</t>
  </si>
  <si>
    <t xml:space="preserve">Priority</t>
  </si>
  <si>
    <t xml:space="preserve">Actual Result</t>
  </si>
  <si>
    <t xml:space="preserve">Status</t>
  </si>
  <si>
    <t xml:space="preserve">Browser</t>
  </si>
  <si>
    <t xml:space="preserve">Executed On</t>
  </si>
  <si>
    <t xml:space="preserve">Defect ID</t>
  </si>
  <si>
    <t xml:space="preserve">MAN-01</t>
  </si>
  <si>
    <t xml:space="preserve">Submit with all fields filled with valid data</t>
  </si>
  <si>
    <t xml:space="preserve">Form page open at https://demoqa.com/automation-practice-form</t>
  </si>
  <si>
    <t xml:space="preserve">1. Fill every field
2. Upload a small image
3. Click Submit</t>
  </si>
  <si>
    <t xml:space="preserve">First: Aryan; Last: Bedade; Email: aryan@example.com; Gender: Male; Mobile: 9876543210; DOB: 15 Aug 2002; Subject: Maths; Hobby: Reading; Address: Latur; State: NCR; City: Delhi</t>
  </si>
  <si>
    <t xml:space="preserve">A 'Thanks for submitting the form' window opens and shows every entered value correctly.</t>
  </si>
  <si>
    <t xml:space="preserve">Positive</t>
  </si>
  <si>
    <t xml:space="preserve">Functional</t>
  </si>
  <si>
    <t xml:space="preserve">High</t>
  </si>
  <si>
    <t xml:space="preserve">Not Run</t>
  </si>
  <si>
    <t xml:space="preserve">MAN-02</t>
  </si>
  <si>
    <t xml:space="preserve">Submit with only mandatory fields</t>
  </si>
  <si>
    <t xml:space="preserve">1. Fill first name, last name, gender and mobile only
2. Click Submit</t>
  </si>
  <si>
    <t xml:space="preserve">First: Aryan; Last: Bedade; Gender: Male; Mobile: 9876543210</t>
  </si>
  <si>
    <t xml:space="preserve">Form submits successfully. Optional fields appear empty in the result window.</t>
  </si>
  <si>
    <t xml:space="preserve">EP</t>
  </si>
  <si>
    <t xml:space="preserve">MAN-03</t>
  </si>
  <si>
    <t xml:space="preserve">Submit with all fields blank</t>
  </si>
  <si>
    <t xml:space="preserve">1. Do not enter anything
2. Click Submit</t>
  </si>
  <si>
    <t xml:space="preserve">All blank</t>
  </si>
  <si>
    <t xml:space="preserve">Form is not submitted. Mandatory fields are highlighted as invalid.</t>
  </si>
  <si>
    <t xml:space="preserve">Negative</t>
  </si>
  <si>
    <t xml:space="preserve">MAN-04</t>
  </si>
  <si>
    <t xml:space="preserve">First name blank</t>
  </si>
  <si>
    <t xml:space="preserve">1. Fill all mandatory fields except first name
2. Click Submit</t>
  </si>
  <si>
    <t xml:space="preserve">First: (blank)</t>
  </si>
  <si>
    <t xml:space="preserve">Form is not submitted. First name is highlighted.</t>
  </si>
  <si>
    <t xml:space="preserve">MAN-05</t>
  </si>
  <si>
    <t xml:space="preserve">Last name blank</t>
  </si>
  <si>
    <t xml:space="preserve">1. Fill all mandatory fields except last name
2. Click Submit</t>
  </si>
  <si>
    <t xml:space="preserve">Last: (blank)</t>
  </si>
  <si>
    <t xml:space="preserve">Form is not submitted. Last name is highlighted.</t>
  </si>
  <si>
    <t xml:space="preserve">MAN-06</t>
  </si>
  <si>
    <t xml:space="preserve">Gender not selected</t>
  </si>
  <si>
    <t xml:space="preserve">1. Fill all mandatory fields except gender
2. Click Submit</t>
  </si>
  <si>
    <t xml:space="preserve">Gender: none</t>
  </si>
  <si>
    <t xml:space="preserve">Form is not submitted. Gender options are highlighted.</t>
  </si>
  <si>
    <t xml:space="preserve">MAN-07</t>
  </si>
  <si>
    <t xml:space="preserve">Mobile number blank</t>
  </si>
  <si>
    <t xml:space="preserve">1. Fill all mandatory fields except mobile
2. Click Submit</t>
  </si>
  <si>
    <t xml:space="preserve">Mobile: (blank)</t>
  </si>
  <si>
    <t xml:space="preserve">Form is not submitted. Mobile field is highlighted.</t>
  </si>
  <si>
    <t xml:space="preserve">NAM-01</t>
  </si>
  <si>
    <t xml:space="preserve">First name with 1 character</t>
  </si>
  <si>
    <t xml:space="preserve">1. Enter 1 character as first name
2. Fill other mandatory fields
3. Click Submit</t>
  </si>
  <si>
    <t xml:space="preserve">First: A</t>
  </si>
  <si>
    <t xml:space="preserve">Record behaviour. A 1-character name should be accepted or clearly rejected by a documented rule.</t>
  </si>
  <si>
    <t xml:space="preserve">Boundary</t>
  </si>
  <si>
    <t xml:space="preserve">BVA</t>
  </si>
  <si>
    <t xml:space="preserve">Low</t>
  </si>
  <si>
    <t xml:space="preserve">NAM-02</t>
  </si>
  <si>
    <t xml:space="preserve">First name with 100 characters</t>
  </si>
  <si>
    <t xml:space="preserve">1. Paste 100 characters in first name
2. Fill other mandatory fields
3. Click Submit</t>
  </si>
  <si>
    <t xml:space="preserve">100 letters a</t>
  </si>
  <si>
    <t xml:space="preserve">Form handles it without layout break. Result window shows the value correctly or truncates it clearly.</t>
  </si>
  <si>
    <t xml:space="preserve">NAM-03</t>
  </si>
  <si>
    <t xml:space="preserve">Digits and special characters in name</t>
  </si>
  <si>
    <t xml:space="preserve">1. Enter special characters in first name
2. Fill other mandatory fields
3. Click Submit</t>
  </si>
  <si>
    <t xml:space="preserve">First: @#123$; Last: !!99</t>
  </si>
  <si>
    <t xml:space="preserve">Record behaviour. Log a defect if obviously invalid names are accepted without any validation.</t>
  </si>
  <si>
    <t xml:space="preserve">Medium</t>
  </si>
  <si>
    <t xml:space="preserve">NAM-04</t>
  </si>
  <si>
    <t xml:space="preserve">Leading and trailing spaces in name</t>
  </si>
  <si>
    <t xml:space="preserve">1. Enter spaces before and after the first name
2. Fill other mandatory fields
3. Click Submit</t>
  </si>
  <si>
    <t xml:space="preserve">First: '   Aryan   '</t>
  </si>
  <si>
    <t xml:space="preserve">Record whether spaces are trimmed in the result window.</t>
  </si>
  <si>
    <t xml:space="preserve">EML-01</t>
  </si>
  <si>
    <t xml:space="preserve">Valid email accepted</t>
  </si>
  <si>
    <t xml:space="preserve">1. Enter a valid email
2. Fill mandatory fields
3. Click Submit</t>
  </si>
  <si>
    <t xml:space="preserve">Email: aryan.bedade@example.com</t>
  </si>
  <si>
    <t xml:space="preserve">Form submits and the email is shown correctly.</t>
  </si>
  <si>
    <t xml:space="preserve">EML-02</t>
  </si>
  <si>
    <t xml:space="preserve">Email without @ symbol</t>
  </si>
  <si>
    <t xml:space="preserve">1. Enter an email without @
2. Fill mandatory fields
3. Click Submit</t>
  </si>
  <si>
    <t xml:space="preserve">Email: aryan.example.com</t>
  </si>
  <si>
    <t xml:space="preserve">Form is not submitted. Email field is highlighted as invalid.</t>
  </si>
  <si>
    <t xml:space="preserve">EML-03</t>
  </si>
  <si>
    <t xml:space="preserve">Email without domain</t>
  </si>
  <si>
    <t xml:space="preserve">1. Enter an email with nothing after @
2. Fill mandatory fields
3. Click Submit</t>
  </si>
  <si>
    <t xml:space="preserve">Email: aryan@</t>
  </si>
  <si>
    <t xml:space="preserve">EML-04</t>
  </si>
  <si>
    <t xml:space="preserve">Email with spaces</t>
  </si>
  <si>
    <t xml:space="preserve">1. Enter an email containing a space
2. Fill mandatory fields
3. Click Submit</t>
  </si>
  <si>
    <t xml:space="preserve">Email: ary an@example.com</t>
  </si>
  <si>
    <t xml:space="preserve">EML-05</t>
  </si>
  <si>
    <t xml:space="preserve">Email left blank (optional field)</t>
  </si>
  <si>
    <t xml:space="preserve">1. Leave email empty
2. Fill mandatory fields
3. Click Submit</t>
  </si>
  <si>
    <t xml:space="preserve">Email: (blank)</t>
  </si>
  <si>
    <t xml:space="preserve">Form submits successfully since email is optional.</t>
  </si>
  <si>
    <t xml:space="preserve">MOB-01</t>
  </si>
  <si>
    <t xml:space="preserve">Mobile with exactly 10 digits</t>
  </si>
  <si>
    <t xml:space="preserve">1. Enter 10 digits
2. Fill other mandatory fields
3. Click Submit</t>
  </si>
  <si>
    <t xml:space="preserve">Mobile: 9876543210</t>
  </si>
  <si>
    <t xml:space="preserve">Form submits and the number is shown correctly.</t>
  </si>
  <si>
    <t xml:space="preserve">MOB-02</t>
  </si>
  <si>
    <t xml:space="preserve">Mobile with 9 digits</t>
  </si>
  <si>
    <t xml:space="preserve">1. Enter 9 digits
2. Fill other mandatory fields
3. Click Submit</t>
  </si>
  <si>
    <t xml:space="preserve">Mobile: 987654321</t>
  </si>
  <si>
    <t xml:space="preserve">MOB-03</t>
  </si>
  <si>
    <t xml:space="preserve">Mobile with 11 digits</t>
  </si>
  <si>
    <t xml:space="preserve">1. Try to enter 11 digits
2. Fill other mandatory fields
3. Click Submit</t>
  </si>
  <si>
    <t xml:space="preserve">Mobile: 98765432101</t>
  </si>
  <si>
    <t xml:space="preserve">Field does not accept the 11th digit, or the form is rejected. The result must never show 11 digits.</t>
  </si>
  <si>
    <t xml:space="preserve">MOB-04</t>
  </si>
  <si>
    <t xml:space="preserve">Letters in mobile number</t>
  </si>
  <si>
    <t xml:space="preserve">1. Type letters in mobile
2. Fill other mandatory fields
3. Click Submit</t>
  </si>
  <si>
    <t xml:space="preserve">Mobile: abcdefghij</t>
  </si>
  <si>
    <t xml:space="preserve">Letters are not accepted. Form is not submitted.</t>
  </si>
  <si>
    <t xml:space="preserve">MOB-05</t>
  </si>
  <si>
    <t xml:space="preserve">Special characters in mobile number</t>
  </si>
  <si>
    <t xml:space="preserve">1. Type special characters in mobile
2. Fill other mandatory fields
3. Click Submit</t>
  </si>
  <si>
    <t xml:space="preserve">Mobile: +91-98765-4</t>
  </si>
  <si>
    <t xml:space="preserve">DOB-01</t>
  </si>
  <si>
    <t xml:space="preserve">Select date using the date picker</t>
  </si>
  <si>
    <t xml:space="preserve">1. Click the Date of Birth field
2. Choose month, year and day from the picker
3. Fill mandatory fields
4. Click Submit</t>
  </si>
  <si>
    <t xml:space="preserve">DOB: 15 Aug 2002</t>
  </si>
  <si>
    <t xml:space="preserve">Selected date is shown in the field and correctly in the result window.</t>
  </si>
  <si>
    <t xml:space="preserve">DOB-02</t>
  </si>
  <si>
    <t xml:space="preserve">Type an impossible date</t>
  </si>
  <si>
    <t xml:space="preserve">1. Clear the date field
2. Type an impossible date
3. Fill mandatory fields
4. Click Submit</t>
  </si>
  <si>
    <t xml:space="preserve">DOB: 31 Feb 2000</t>
  </si>
  <si>
    <t xml:space="preserve">Record behaviour. An impossible date should not be accepted as is. Log a defect if it is shown in the result.</t>
  </si>
  <si>
    <t xml:space="preserve">DOB-03</t>
  </si>
  <si>
    <t xml:space="preserve">Select a future date</t>
  </si>
  <si>
    <t xml:space="preserve">1. Open the date picker
2. Choose a future date
3. Fill mandatory fields
4. Click Submit</t>
  </si>
  <si>
    <t xml:space="preserve">DOB: a date next year</t>
  </si>
  <si>
    <t xml:space="preserve">Record behaviour. A future date of birth is not logical. Decide if it is a defect.</t>
  </si>
  <si>
    <t xml:space="preserve">DOB-04</t>
  </si>
  <si>
    <t xml:space="preserve">Default value of the date field</t>
  </si>
  <si>
    <t xml:space="preserve">1. Open the form and look at the Date of Birth field</t>
  </si>
  <si>
    <t xml:space="preserve">None</t>
  </si>
  <si>
    <t xml:space="preserve">Record the default value shown (for example today's date) and whether it makes sense for date of birth.</t>
  </si>
  <si>
    <t xml:space="preserve">SUB-01</t>
  </si>
  <si>
    <t xml:space="preserve">Select a subject using auto-complete</t>
  </si>
  <si>
    <t xml:space="preserve">1. Type the first letters in Subjects
2. Select the suggestion
3. Fill mandatory fields
4. Click Submit</t>
  </si>
  <si>
    <t xml:space="preserve">Subject: Maths</t>
  </si>
  <si>
    <t xml:space="preserve">Suggestion list appears, the subject is added and shown in the result.</t>
  </si>
  <si>
    <t xml:space="preserve">SUB-02</t>
  </si>
  <si>
    <t xml:space="preserve">Select multiple subjects</t>
  </si>
  <si>
    <t xml:space="preserve">1. Add three different subjects
2. Fill mandatory fields
3. Click Submit</t>
  </si>
  <si>
    <t xml:space="preserve">Maths, Physics, English</t>
  </si>
  <si>
    <t xml:space="preserve">All three subjects appear in the result, separated correctly.</t>
  </si>
  <si>
    <t xml:space="preserve">SUB-03</t>
  </si>
  <si>
    <t xml:space="preserve">Type a subject that does not exist</t>
  </si>
  <si>
    <t xml:space="preserve">1. Type random text in Subjects
2. Press Enter</t>
  </si>
  <si>
    <t xml:space="preserve">Subject: zzzzzz</t>
  </si>
  <si>
    <t xml:space="preserve">No invalid subject is added to the field.</t>
  </si>
  <si>
    <t xml:space="preserve">SUB-04</t>
  </si>
  <si>
    <t xml:space="preserve">Select multiple hobbies and uncheck one</t>
  </si>
  <si>
    <t xml:space="preserve">1. Tick Sports, Reading and Music
2. Untick Music
3. Fill mandatory fields
4. Click Submit</t>
  </si>
  <si>
    <t xml:space="preserve">Sports, Reading</t>
  </si>
  <si>
    <t xml:space="preserve">Result shows only Sports and Reading.</t>
  </si>
  <si>
    <t xml:space="preserve">SUB-05</t>
  </si>
  <si>
    <t xml:space="preserve">Upload a valid picture</t>
  </si>
  <si>
    <t xml:space="preserve">1. Click Choose File
2. Select a small JPG
3. Fill mandatory fields
4. Click Submit</t>
  </si>
  <si>
    <t xml:space="preserve">File: photo.jpg (under 1 MB)</t>
  </si>
  <si>
    <t xml:space="preserve">File name is shown in the result window.</t>
  </si>
  <si>
    <t xml:space="preserve">SUB-06</t>
  </si>
  <si>
    <t xml:space="preserve">Upload a non-image file</t>
  </si>
  <si>
    <t xml:space="preserve">1. Click Choose File
2. Select a .txt or .pdf file
3. Fill mandatory fields
4. Click Submit</t>
  </si>
  <si>
    <t xml:space="preserve">File: notes.txt</t>
  </si>
  <si>
    <t xml:space="preserve">Record behaviour. A picture field should ideally reject non-image files. Decide if it is a defect.</t>
  </si>
  <si>
    <t xml:space="preserve">ADR-01</t>
  </si>
  <si>
    <t xml:space="preserve">Address with special characters and multiple lines</t>
  </si>
  <si>
    <t xml:space="preserve">1. Enter a multi-line address with symbols
2. Fill mandatory fields
3. Click Submit</t>
  </si>
  <si>
    <t xml:space="preserve">Address: Flat 4/B, Main Rd.#12 (new line) Latur - 413512</t>
  </si>
  <si>
    <t xml:space="preserve">Address appears in the result without breaking the window.</t>
  </si>
  <si>
    <t xml:space="preserve">ADR-02</t>
  </si>
  <si>
    <t xml:space="preserve">City dropdown before selecting a state</t>
  </si>
  <si>
    <t xml:space="preserve">1. Look at the City dropdown without selecting a state</t>
  </si>
  <si>
    <t xml:space="preserve">City cannot be selected until a state is chosen.</t>
  </si>
  <si>
    <t xml:space="preserve">ADR-03</t>
  </si>
  <si>
    <t xml:space="preserve">City list depends on the selected state</t>
  </si>
  <si>
    <t xml:space="preserve">1. Select a state
2. Open the City dropdown
3. Repeat for other states</t>
  </si>
  <si>
    <t xml:space="preserve">States: NCR, Uttar Pradesh, Haryana, Rajasthan</t>
  </si>
  <si>
    <t xml:space="preserve">Only cities that belong to the chosen state are listed.</t>
  </si>
  <si>
    <t xml:space="preserve">ADR-04</t>
  </si>
  <si>
    <t xml:space="preserve">Changing state resets the city</t>
  </si>
  <si>
    <t xml:space="preserve">1. Select NCR and a city
2. Change the state to another one
3. Check the City field</t>
  </si>
  <si>
    <t xml:space="preserve">State change after city selected</t>
  </si>
  <si>
    <t xml:space="preserve">Previously selected city is cleared or revalidated for the new state. Submit must not show a mismatched state and city.</t>
  </si>
  <si>
    <t xml:space="preserve">SUM-01</t>
  </si>
  <si>
    <t xml:space="preserve">Result window matches input</t>
  </si>
  <si>
    <t xml:space="preserve">1. Fill every field with known values
2. Click Submit
3. Compare each row of the result table with the input</t>
  </si>
  <si>
    <t xml:space="preserve">Use values from MAN-01</t>
  </si>
  <si>
    <t xml:space="preserve">Every value in the result table equals what was entered.</t>
  </si>
  <si>
    <t xml:space="preserve">SUM-02</t>
  </si>
  <si>
    <t xml:space="preserve">Close the result window and check the form</t>
  </si>
  <si>
    <t xml:space="preserve">1. Submit a valid form
2. Click Close
3. Look at the form fields</t>
  </si>
  <si>
    <t xml:space="preserve">Result window closes. Record whether the form is reset or keeps the old data.</t>
  </si>
  <si>
    <t xml:space="preserve">SUM-03</t>
  </si>
  <si>
    <t xml:space="preserve">Submit the same data twice</t>
  </si>
  <si>
    <t xml:space="preserve">1. Submit valid data
2. Close the window
3. Submit the same data again</t>
  </si>
  <si>
    <t xml:space="preserve">Same data as MAN-02</t>
  </si>
  <si>
    <t xml:space="preserve">No duplicate-check rule exists on this page. Record behaviour: second submission should behave the same as the first without an error.</t>
  </si>
  <si>
    <t xml:space="preserve">SUM-04</t>
  </si>
  <si>
    <t xml:space="preserve">Keyboard navigation with Tab key</t>
  </si>
  <si>
    <t xml:space="preserve">1. Click the first field
2. Press Tab repeatedly through the form
3. Press Enter on Submit</t>
  </si>
  <si>
    <t xml:space="preserve">Focus moves in a logical order. Every control can be reached and used with the keyboard.</t>
  </si>
  <si>
    <t xml:space="preserve">SUM-05</t>
  </si>
  <si>
    <t xml:space="preserve">Form on a small mobile screen size</t>
  </si>
  <si>
    <t xml:space="preserve">1. Open browser developer tools
2. Switch to a phone screen size
3. Fill and submit the form</t>
  </si>
  <si>
    <t xml:space="preserve">Viewport: 375 x 667</t>
  </si>
  <si>
    <t xml:space="preserve">All fields are visible and usable. Nothing overlaps. Submit works.</t>
  </si>
  <si>
    <t xml:space="preserve">Title</t>
  </si>
  <si>
    <t xml:space="preserve">Related TC</t>
  </si>
  <si>
    <t xml:space="preserve">Environment</t>
  </si>
  <si>
    <t xml:space="preserve">Steps to Reproduce</t>
  </si>
  <si>
    <t xml:space="preserve">Severity</t>
  </si>
  <si>
    <t xml:space="preserve">Reported On</t>
  </si>
  <si>
    <t xml:space="preserve">Retest Result</t>
  </si>
  <si>
    <t xml:space="preserve">Screenshot file</t>
  </si>
  <si>
    <t xml:space="preserve">EXAMPLE-DELETE-ME</t>
  </si>
  <si>
    <t xml:space="preserve">Short, specific title of what is wrong</t>
  </si>
  <si>
    <t xml:space="preserve">Module name</t>
  </si>
  <si>
    <t xml:space="preserve">TC-ID</t>
  </si>
  <si>
    <t xml:space="preserve">Chrome 130 / Windows 11</t>
  </si>
  <si>
    <t xml:space="preserve">1. Step one
2. Step two
3. Step three</t>
  </si>
  <si>
    <t xml:space="preserve">What should happen</t>
  </si>
  <si>
    <t xml:space="preserve">What actually happened</t>
  </si>
  <si>
    <t xml:space="preserve">New</t>
  </si>
  <si>
    <t xml:space="preserve">(fill after retest)</t>
  </si>
  <si>
    <t xml:space="preserve">screenshots/DEF-001.png</t>
  </si>
  <si>
    <t xml:space="preserve">Test Execution Summary (auto-calculated)</t>
  </si>
  <si>
    <t xml:space="preserve">Total</t>
  </si>
  <si>
    <t xml:space="preserve">Pass</t>
  </si>
  <si>
    <t xml:space="preserve">Fail</t>
  </si>
  <si>
    <t xml:space="preserve">Blocked</t>
  </si>
  <si>
    <t xml:space="preserve">Pass %</t>
  </si>
  <si>
    <t xml:space="preserve">TOTAL</t>
  </si>
  <si>
    <t xml:space="preserve">Defects by severity (rows with ID starting DEF-)</t>
  </si>
  <si>
    <t xml:space="preserve">Count</t>
  </si>
  <si>
    <t xml:space="preserve">Critical</t>
  </si>
  <si>
    <t xml:space="preserve">Total defects</t>
  </si>
</sst>
</file>

<file path=xl/styles.xml><?xml version="1.0" encoding="utf-8"?>
<styleSheet xmlns="http://schemas.openxmlformats.org/spreadsheetml/2006/main">
  <numFmts count="2">
    <numFmt numFmtId="164" formatCode="General"/>
    <numFmt numFmtId="165" formatCode="0.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color theme="1"/>
      <name val="Arial"/>
      <family val="0"/>
      <charset val="1"/>
    </font>
    <font>
      <b val="true"/>
      <sz val="10"/>
      <name val="Arial"/>
      <family val="0"/>
      <charset val="1"/>
    </font>
    <font>
      <sz val="10"/>
      <name val="Arial"/>
      <family val="0"/>
      <charset val="1"/>
    </font>
    <font>
      <b val="true"/>
      <sz val="10"/>
      <color rgb="FFFFFFFF"/>
      <name val="Arial"/>
      <family val="0"/>
      <charset val="1"/>
    </font>
    <font>
      <i val="true"/>
      <sz val="10"/>
      <color rgb="FF7F7F7F"/>
      <name val="Arial"/>
      <family val="0"/>
      <charset val="1"/>
    </font>
    <font>
      <b val="true"/>
      <sz val="13"/>
      <name val="Arial"/>
      <family val="0"/>
      <charset val="1"/>
    </font>
    <font>
      <b val="true"/>
      <sz val="11"/>
      <name val="Arial"/>
      <family val="0"/>
      <charset val="1"/>
    </font>
  </fonts>
  <fills count="5">
    <fill>
      <patternFill patternType="none"/>
    </fill>
    <fill>
      <patternFill patternType="gray125"/>
    </fill>
    <fill>
      <patternFill patternType="solid">
        <fgColor rgb="FFF2F2F2"/>
        <bgColor rgb="FFFFFFFF"/>
      </patternFill>
    </fill>
    <fill>
      <patternFill patternType="solid">
        <fgColor rgb="FFFFF2CC"/>
        <bgColor rgb="FFF2F2F2"/>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5" fontId="6" fillId="2"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0"/>
  </cols>
  <sheetData>
    <row r="1" customFormat="false" ht="17.35" hidden="false" customHeight="false" outlineLevel="0" collapsed="false">
      <c r="A1" s="1" t="s">
        <v>0</v>
      </c>
      <c r="B1" s="2"/>
    </row>
    <row r="2" customFormat="false" ht="15" hidden="false" customHeight="false" outlineLevel="0" collapsed="false">
      <c r="A2" s="2"/>
      <c r="B2" s="2"/>
    </row>
    <row r="3" customFormat="false" ht="15" hidden="false" customHeight="false" outlineLevel="0" collapsed="false">
      <c r="A3" s="3" t="s">
        <v>1</v>
      </c>
      <c r="B3" s="4" t="s">
        <v>2</v>
      </c>
    </row>
    <row r="4" customFormat="false" ht="15" hidden="false" customHeight="false" outlineLevel="0" collapsed="false">
      <c r="A4" s="3" t="s">
        <v>3</v>
      </c>
      <c r="B4" s="4" t="s">
        <v>4</v>
      </c>
    </row>
    <row r="5" customFormat="false" ht="23.85" hidden="false" customHeight="false" outlineLevel="0" collapsed="false">
      <c r="A5" s="3" t="s">
        <v>5</v>
      </c>
      <c r="B5" s="4" t="s">
        <v>6</v>
      </c>
    </row>
    <row r="6" customFormat="false" ht="35.05" hidden="false" customHeight="false" outlineLevel="0" collapsed="false">
      <c r="A6" s="3" t="s">
        <v>7</v>
      </c>
      <c r="B6" s="4" t="s">
        <v>8</v>
      </c>
    </row>
    <row r="7" customFormat="false" ht="15" hidden="false" customHeight="false" outlineLevel="0" collapsed="false">
      <c r="A7" s="3" t="s">
        <v>9</v>
      </c>
      <c r="B7" s="4" t="s">
        <v>10</v>
      </c>
    </row>
    <row r="8" customFormat="false" ht="15" hidden="false" customHeight="false" outlineLevel="0" collapsed="false">
      <c r="A8" s="3" t="s">
        <v>11</v>
      </c>
      <c r="B8" s="4" t="s">
        <v>12</v>
      </c>
    </row>
    <row r="9" customFormat="false" ht="15" hidden="false" customHeight="false" outlineLevel="0" collapsed="false">
      <c r="A9" s="3" t="s">
        <v>13</v>
      </c>
      <c r="B9" s="4" t="s">
        <v>14</v>
      </c>
    </row>
    <row r="10" customFormat="false" ht="46.25" hidden="false" customHeight="false" outlineLevel="0" collapsed="false">
      <c r="A10" s="3" t="s">
        <v>15</v>
      </c>
      <c r="B10" s="4" t="s">
        <v>16</v>
      </c>
    </row>
    <row r="11" customFormat="false" ht="23.85" hidden="false" customHeight="false" outlineLevel="0" collapsed="false">
      <c r="A11" s="3" t="s">
        <v>17</v>
      </c>
      <c r="B11" s="4" t="s">
        <v>18</v>
      </c>
    </row>
    <row r="12" customFormat="false" ht="15" hidden="false" customHeight="false" outlineLevel="0" collapsed="false">
      <c r="A12" s="3" t="s">
        <v>19</v>
      </c>
      <c r="B12" s="4" t="s">
        <v>20</v>
      </c>
    </row>
    <row r="13" customFormat="false" ht="23.85" hidden="false" customHeight="false" outlineLevel="0" collapsed="false">
      <c r="A13" s="3" t="s">
        <v>21</v>
      </c>
      <c r="B13" s="4" t="s">
        <v>22</v>
      </c>
    </row>
    <row r="14" customFormat="false" ht="15" hidden="false" customHeight="false" outlineLevel="0" collapsed="false">
      <c r="A14" s="2"/>
      <c r="B14" s="2"/>
    </row>
    <row r="15" customFormat="false" ht="15" hidden="false" customHeight="false" outlineLevel="0" collapsed="false">
      <c r="A15" s="5" t="s">
        <v>23</v>
      </c>
      <c r="B15"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70"/>
    <col collapsed="false" customWidth="true" hidden="false" outlineLevel="0" max="4" min="4" style="0" width="18"/>
  </cols>
  <sheetData>
    <row r="1" customFormat="false" ht="15" hidden="false" customHeight="false" outlineLevel="0" collapsed="false">
      <c r="A1" s="6" t="s">
        <v>24</v>
      </c>
      <c r="B1" s="6" t="s">
        <v>25</v>
      </c>
      <c r="C1" s="6" t="s">
        <v>26</v>
      </c>
      <c r="D1" s="6" t="s">
        <v>27</v>
      </c>
    </row>
    <row r="2" customFormat="false" ht="15" hidden="false" customHeight="false" outlineLevel="0" collapsed="false">
      <c r="A2" s="4" t="s">
        <v>28</v>
      </c>
      <c r="B2" s="4" t="s">
        <v>29</v>
      </c>
      <c r="C2" s="4" t="s">
        <v>30</v>
      </c>
      <c r="D2" s="4" t="n">
        <f aca="false">COUNTIF('Test Cases'!$C$2:$C$200,A2)</f>
        <v>3</v>
      </c>
    </row>
    <row r="3" customFormat="false" ht="15" hidden="false" customHeight="false" outlineLevel="0" collapsed="false">
      <c r="A3" s="4" t="s">
        <v>31</v>
      </c>
      <c r="B3" s="4" t="s">
        <v>29</v>
      </c>
      <c r="C3" s="4" t="s">
        <v>32</v>
      </c>
      <c r="D3" s="4" t="n">
        <f aca="false">COUNTIF('Test Cases'!$C$2:$C$200,A3)</f>
        <v>4</v>
      </c>
    </row>
    <row r="4" customFormat="false" ht="15" hidden="false" customHeight="false" outlineLevel="0" collapsed="false">
      <c r="A4" s="4" t="s">
        <v>33</v>
      </c>
      <c r="B4" s="4" t="s">
        <v>34</v>
      </c>
      <c r="C4" s="4" t="s">
        <v>35</v>
      </c>
      <c r="D4" s="4" t="n">
        <f aca="false">COUNTIF('Test Cases'!$C$2:$C$200,A4)</f>
        <v>4</v>
      </c>
    </row>
    <row r="5" customFormat="false" ht="15" hidden="false" customHeight="false" outlineLevel="0" collapsed="false">
      <c r="A5" s="4" t="s">
        <v>36</v>
      </c>
      <c r="B5" s="4" t="s">
        <v>37</v>
      </c>
      <c r="C5" s="4" t="s">
        <v>38</v>
      </c>
      <c r="D5" s="4" t="n">
        <f aca="false">COUNTIF('Test Cases'!$C$2:$C$200,A5)</f>
        <v>5</v>
      </c>
    </row>
    <row r="6" customFormat="false" ht="15" hidden="false" customHeight="false" outlineLevel="0" collapsed="false">
      <c r="A6" s="4" t="s">
        <v>39</v>
      </c>
      <c r="B6" s="4" t="s">
        <v>40</v>
      </c>
      <c r="C6" s="4" t="s">
        <v>41</v>
      </c>
      <c r="D6" s="4" t="n">
        <f aca="false">COUNTIF('Test Cases'!$C$2:$C$200,A6)</f>
        <v>5</v>
      </c>
    </row>
    <row r="7" customFormat="false" ht="15" hidden="false" customHeight="false" outlineLevel="0" collapsed="false">
      <c r="A7" s="4" t="s">
        <v>42</v>
      </c>
      <c r="B7" s="4" t="s">
        <v>43</v>
      </c>
      <c r="C7" s="4" t="s">
        <v>44</v>
      </c>
      <c r="D7" s="4" t="n">
        <f aca="false">COUNTIF('Test Cases'!$C$2:$C$200,A7)</f>
        <v>4</v>
      </c>
    </row>
    <row r="8" customFormat="false" ht="23.85" hidden="false" customHeight="false" outlineLevel="0" collapsed="false">
      <c r="A8" s="4" t="s">
        <v>45</v>
      </c>
      <c r="B8" s="4" t="s">
        <v>46</v>
      </c>
      <c r="C8" s="4" t="s">
        <v>47</v>
      </c>
      <c r="D8" s="4" t="n">
        <f aca="false">COUNTIF('Test Cases'!$C$2:$C$200,A8)</f>
        <v>6</v>
      </c>
    </row>
    <row r="9" customFormat="false" ht="15" hidden="false" customHeight="false" outlineLevel="0" collapsed="false">
      <c r="A9" s="4" t="s">
        <v>48</v>
      </c>
      <c r="B9" s="4" t="s">
        <v>49</v>
      </c>
      <c r="C9" s="4" t="s">
        <v>50</v>
      </c>
      <c r="D9" s="4" t="n">
        <f aca="false">COUNTIF('Test Cases'!$C$2:$C$200,A9)</f>
        <v>4</v>
      </c>
    </row>
    <row r="10" customFormat="false" ht="15" hidden="false" customHeight="false" outlineLevel="0" collapsed="false">
      <c r="A10" s="4" t="s">
        <v>51</v>
      </c>
      <c r="B10" s="4" t="s">
        <v>52</v>
      </c>
      <c r="C10" s="4" t="s">
        <v>53</v>
      </c>
      <c r="D10" s="4" t="n">
        <f aca="false">COUNTIF('Test Cases'!$C$2:$C$200,A10)</f>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6"/>
    <col collapsed="false" customWidth="true" hidden="false" outlineLevel="0" max="3" min="3" style="0" width="11"/>
    <col collapsed="false" customWidth="true" hidden="false" outlineLevel="0" max="4" min="4" style="0" width="38"/>
    <col collapsed="false" customWidth="true" hidden="false" outlineLevel="0" max="5" min="5" style="0" width="28"/>
    <col collapsed="false" customWidth="true" hidden="false" outlineLevel="0" max="6" min="6" style="0" width="52"/>
    <col collapsed="false" customWidth="true" hidden="false" outlineLevel="0" max="7" min="7" style="0" width="38"/>
    <col collapsed="false" customWidth="true" hidden="false" outlineLevel="0" max="8" min="8" style="0" width="48"/>
    <col collapsed="false" customWidth="true" hidden="false" outlineLevel="0" max="9" min="9" style="0" width="11"/>
    <col collapsed="false" customWidth="true" hidden="false" outlineLevel="0" max="10" min="10" style="0" width="14"/>
    <col collapsed="false" customWidth="true" hidden="false" outlineLevel="0" max="11" min="11" style="0" width="9"/>
    <col collapsed="false" customWidth="true" hidden="false" outlineLevel="0" max="12" min="12" style="0" width="36"/>
    <col collapsed="false" customWidth="true" hidden="false" outlineLevel="0" max="13" min="13" style="0" width="11"/>
    <col collapsed="false" customWidth="true" hidden="false" outlineLevel="0" max="14" min="14" style="0" width="12"/>
    <col collapsed="false" customWidth="true" hidden="false" outlineLevel="0" max="15" min="15" style="0" width="13"/>
    <col collapsed="false" customWidth="true" hidden="false" outlineLevel="0" max="16" min="16" style="0" width="11"/>
  </cols>
  <sheetData>
    <row r="1" customFormat="false" ht="23.85" hidden="false" customHeight="false" outlineLevel="0" collapsed="false">
      <c r="A1" s="6" t="s">
        <v>54</v>
      </c>
      <c r="B1" s="6" t="s">
        <v>25</v>
      </c>
      <c r="C1" s="6" t="s">
        <v>24</v>
      </c>
      <c r="D1" s="6" t="s">
        <v>55</v>
      </c>
      <c r="E1" s="6" t="s">
        <v>56</v>
      </c>
      <c r="F1" s="6" t="s">
        <v>57</v>
      </c>
      <c r="G1" s="6" t="s">
        <v>58</v>
      </c>
      <c r="H1" s="6" t="s">
        <v>59</v>
      </c>
      <c r="I1" s="6" t="s">
        <v>60</v>
      </c>
      <c r="J1" s="6" t="s">
        <v>61</v>
      </c>
      <c r="K1" s="6" t="s">
        <v>62</v>
      </c>
      <c r="L1" s="6" t="s">
        <v>63</v>
      </c>
      <c r="M1" s="6" t="s">
        <v>64</v>
      </c>
      <c r="N1" s="6" t="s">
        <v>65</v>
      </c>
      <c r="O1" s="6" t="s">
        <v>66</v>
      </c>
      <c r="P1" s="6" t="s">
        <v>67</v>
      </c>
    </row>
    <row r="2" customFormat="false" ht="57.45" hidden="false" customHeight="false" outlineLevel="0" collapsed="false">
      <c r="A2" s="4" t="s">
        <v>68</v>
      </c>
      <c r="B2" s="4" t="s">
        <v>29</v>
      </c>
      <c r="C2" s="4" t="s">
        <v>28</v>
      </c>
      <c r="D2" s="4" t="s">
        <v>69</v>
      </c>
      <c r="E2" s="4" t="s">
        <v>70</v>
      </c>
      <c r="F2" s="4" t="s">
        <v>71</v>
      </c>
      <c r="G2" s="4" t="s">
        <v>72</v>
      </c>
      <c r="H2" s="4" t="s">
        <v>73</v>
      </c>
      <c r="I2" s="4" t="s">
        <v>74</v>
      </c>
      <c r="J2" s="4" t="s">
        <v>75</v>
      </c>
      <c r="K2" s="4" t="s">
        <v>76</v>
      </c>
      <c r="L2" s="7"/>
      <c r="M2" s="7" t="s">
        <v>77</v>
      </c>
      <c r="N2" s="7"/>
      <c r="O2" s="7"/>
      <c r="P2" s="7"/>
    </row>
    <row r="3" customFormat="false" ht="35.05" hidden="false" customHeight="false" outlineLevel="0" collapsed="false">
      <c r="A3" s="4" t="s">
        <v>78</v>
      </c>
      <c r="B3" s="4" t="s">
        <v>29</v>
      </c>
      <c r="C3" s="4" t="s">
        <v>28</v>
      </c>
      <c r="D3" s="4" t="s">
        <v>79</v>
      </c>
      <c r="E3" s="4" t="s">
        <v>70</v>
      </c>
      <c r="F3" s="4" t="s">
        <v>80</v>
      </c>
      <c r="G3" s="4" t="s">
        <v>81</v>
      </c>
      <c r="H3" s="4" t="s">
        <v>82</v>
      </c>
      <c r="I3" s="4" t="s">
        <v>74</v>
      </c>
      <c r="J3" s="4" t="s">
        <v>83</v>
      </c>
      <c r="K3" s="4" t="s">
        <v>76</v>
      </c>
      <c r="L3" s="7"/>
      <c r="M3" s="7" t="s">
        <v>77</v>
      </c>
      <c r="N3" s="7"/>
      <c r="O3" s="7"/>
      <c r="P3" s="7"/>
    </row>
    <row r="4" customFormat="false" ht="35.05" hidden="false" customHeight="false" outlineLevel="0" collapsed="false">
      <c r="A4" s="4" t="s">
        <v>84</v>
      </c>
      <c r="B4" s="4" t="s">
        <v>29</v>
      </c>
      <c r="C4" s="4" t="s">
        <v>28</v>
      </c>
      <c r="D4" s="4" t="s">
        <v>85</v>
      </c>
      <c r="E4" s="4" t="s">
        <v>70</v>
      </c>
      <c r="F4" s="4" t="s">
        <v>86</v>
      </c>
      <c r="G4" s="4" t="s">
        <v>87</v>
      </c>
      <c r="H4" s="4" t="s">
        <v>88</v>
      </c>
      <c r="I4" s="4" t="s">
        <v>89</v>
      </c>
      <c r="J4" s="4" t="s">
        <v>83</v>
      </c>
      <c r="K4" s="4" t="s">
        <v>76</v>
      </c>
      <c r="L4" s="7"/>
      <c r="M4" s="7" t="s">
        <v>77</v>
      </c>
      <c r="N4" s="7"/>
      <c r="O4" s="7"/>
      <c r="P4" s="7"/>
    </row>
    <row r="5" customFormat="false" ht="35.05" hidden="false" customHeight="false" outlineLevel="0" collapsed="false">
      <c r="A5" s="4" t="s">
        <v>90</v>
      </c>
      <c r="B5" s="4" t="s">
        <v>29</v>
      </c>
      <c r="C5" s="4" t="s">
        <v>31</v>
      </c>
      <c r="D5" s="4" t="s">
        <v>91</v>
      </c>
      <c r="E5" s="4" t="s">
        <v>70</v>
      </c>
      <c r="F5" s="4" t="s">
        <v>92</v>
      </c>
      <c r="G5" s="4" t="s">
        <v>93</v>
      </c>
      <c r="H5" s="4" t="s">
        <v>94</v>
      </c>
      <c r="I5" s="4" t="s">
        <v>89</v>
      </c>
      <c r="J5" s="4" t="s">
        <v>83</v>
      </c>
      <c r="K5" s="4" t="s">
        <v>76</v>
      </c>
      <c r="L5" s="7"/>
      <c r="M5" s="7" t="s">
        <v>77</v>
      </c>
      <c r="N5" s="7"/>
      <c r="O5" s="7"/>
      <c r="P5" s="7"/>
    </row>
    <row r="6" customFormat="false" ht="35.05" hidden="false" customHeight="false" outlineLevel="0" collapsed="false">
      <c r="A6" s="4" t="s">
        <v>95</v>
      </c>
      <c r="B6" s="4" t="s">
        <v>29</v>
      </c>
      <c r="C6" s="4" t="s">
        <v>31</v>
      </c>
      <c r="D6" s="4" t="s">
        <v>96</v>
      </c>
      <c r="E6" s="4" t="s">
        <v>70</v>
      </c>
      <c r="F6" s="4" t="s">
        <v>97</v>
      </c>
      <c r="G6" s="4" t="s">
        <v>98</v>
      </c>
      <c r="H6" s="4" t="s">
        <v>99</v>
      </c>
      <c r="I6" s="4" t="s">
        <v>89</v>
      </c>
      <c r="J6" s="4" t="s">
        <v>83</v>
      </c>
      <c r="K6" s="4" t="s">
        <v>76</v>
      </c>
      <c r="L6" s="7"/>
      <c r="M6" s="7" t="s">
        <v>77</v>
      </c>
      <c r="N6" s="7"/>
      <c r="O6" s="7"/>
      <c r="P6" s="7"/>
    </row>
    <row r="7" customFormat="false" ht="35.05" hidden="false" customHeight="false" outlineLevel="0" collapsed="false">
      <c r="A7" s="4" t="s">
        <v>100</v>
      </c>
      <c r="B7" s="4" t="s">
        <v>29</v>
      </c>
      <c r="C7" s="4" t="s">
        <v>31</v>
      </c>
      <c r="D7" s="4" t="s">
        <v>101</v>
      </c>
      <c r="E7" s="4" t="s">
        <v>70</v>
      </c>
      <c r="F7" s="4" t="s">
        <v>102</v>
      </c>
      <c r="G7" s="4" t="s">
        <v>103</v>
      </c>
      <c r="H7" s="4" t="s">
        <v>104</v>
      </c>
      <c r="I7" s="4" t="s">
        <v>89</v>
      </c>
      <c r="J7" s="4" t="s">
        <v>83</v>
      </c>
      <c r="K7" s="4" t="s">
        <v>76</v>
      </c>
      <c r="L7" s="7"/>
      <c r="M7" s="7" t="s">
        <v>77</v>
      </c>
      <c r="N7" s="7"/>
      <c r="O7" s="7"/>
      <c r="P7" s="7"/>
    </row>
    <row r="8" customFormat="false" ht="35.05" hidden="false" customHeight="false" outlineLevel="0" collapsed="false">
      <c r="A8" s="4" t="s">
        <v>105</v>
      </c>
      <c r="B8" s="4" t="s">
        <v>29</v>
      </c>
      <c r="C8" s="4" t="s">
        <v>31</v>
      </c>
      <c r="D8" s="4" t="s">
        <v>106</v>
      </c>
      <c r="E8" s="4" t="s">
        <v>70</v>
      </c>
      <c r="F8" s="4" t="s">
        <v>107</v>
      </c>
      <c r="G8" s="4" t="s">
        <v>108</v>
      </c>
      <c r="H8" s="4" t="s">
        <v>109</v>
      </c>
      <c r="I8" s="4" t="s">
        <v>89</v>
      </c>
      <c r="J8" s="4" t="s">
        <v>83</v>
      </c>
      <c r="K8" s="4" t="s">
        <v>76</v>
      </c>
      <c r="L8" s="7"/>
      <c r="M8" s="7" t="s">
        <v>77</v>
      </c>
      <c r="N8" s="7"/>
      <c r="O8" s="7"/>
      <c r="P8" s="7"/>
    </row>
    <row r="9" customFormat="false" ht="35.05" hidden="false" customHeight="false" outlineLevel="0" collapsed="false">
      <c r="A9" s="4" t="s">
        <v>110</v>
      </c>
      <c r="B9" s="4" t="s">
        <v>34</v>
      </c>
      <c r="C9" s="4" t="s">
        <v>33</v>
      </c>
      <c r="D9" s="4" t="s">
        <v>111</v>
      </c>
      <c r="E9" s="4" t="s">
        <v>70</v>
      </c>
      <c r="F9" s="4" t="s">
        <v>112</v>
      </c>
      <c r="G9" s="4" t="s">
        <v>113</v>
      </c>
      <c r="H9" s="4" t="s">
        <v>114</v>
      </c>
      <c r="I9" s="4" t="s">
        <v>115</v>
      </c>
      <c r="J9" s="4" t="s">
        <v>116</v>
      </c>
      <c r="K9" s="4" t="s">
        <v>117</v>
      </c>
      <c r="L9" s="7"/>
      <c r="M9" s="7" t="s">
        <v>77</v>
      </c>
      <c r="N9" s="7"/>
      <c r="O9" s="7"/>
      <c r="P9" s="7"/>
    </row>
    <row r="10" customFormat="false" ht="35.05" hidden="false" customHeight="false" outlineLevel="0" collapsed="false">
      <c r="A10" s="4" t="s">
        <v>118</v>
      </c>
      <c r="B10" s="4" t="s">
        <v>34</v>
      </c>
      <c r="C10" s="4" t="s">
        <v>33</v>
      </c>
      <c r="D10" s="4" t="s">
        <v>119</v>
      </c>
      <c r="E10" s="4" t="s">
        <v>70</v>
      </c>
      <c r="F10" s="4" t="s">
        <v>120</v>
      </c>
      <c r="G10" s="4" t="s">
        <v>121</v>
      </c>
      <c r="H10" s="4" t="s">
        <v>122</v>
      </c>
      <c r="I10" s="4" t="s">
        <v>115</v>
      </c>
      <c r="J10" s="4" t="s">
        <v>116</v>
      </c>
      <c r="K10" s="4" t="s">
        <v>117</v>
      </c>
      <c r="L10" s="7"/>
      <c r="M10" s="7" t="s">
        <v>77</v>
      </c>
      <c r="N10" s="7"/>
      <c r="O10" s="7"/>
      <c r="P10" s="7"/>
    </row>
    <row r="11" customFormat="false" ht="35.05" hidden="false" customHeight="false" outlineLevel="0" collapsed="false">
      <c r="A11" s="4" t="s">
        <v>123</v>
      </c>
      <c r="B11" s="4" t="s">
        <v>34</v>
      </c>
      <c r="C11" s="4" t="s">
        <v>33</v>
      </c>
      <c r="D11" s="4" t="s">
        <v>124</v>
      </c>
      <c r="E11" s="4" t="s">
        <v>70</v>
      </c>
      <c r="F11" s="4" t="s">
        <v>125</v>
      </c>
      <c r="G11" s="4" t="s">
        <v>126</v>
      </c>
      <c r="H11" s="4" t="s">
        <v>127</v>
      </c>
      <c r="I11" s="4" t="s">
        <v>89</v>
      </c>
      <c r="J11" s="4" t="s">
        <v>83</v>
      </c>
      <c r="K11" s="4" t="s">
        <v>128</v>
      </c>
      <c r="L11" s="7"/>
      <c r="M11" s="7" t="s">
        <v>77</v>
      </c>
      <c r="N11" s="7"/>
      <c r="O11" s="7"/>
      <c r="P11" s="7"/>
    </row>
    <row r="12" customFormat="false" ht="35.05" hidden="false" customHeight="false" outlineLevel="0" collapsed="false">
      <c r="A12" s="4" t="s">
        <v>129</v>
      </c>
      <c r="B12" s="4" t="s">
        <v>34</v>
      </c>
      <c r="C12" s="4" t="s">
        <v>33</v>
      </c>
      <c r="D12" s="4" t="s">
        <v>130</v>
      </c>
      <c r="E12" s="4" t="s">
        <v>70</v>
      </c>
      <c r="F12" s="4" t="s">
        <v>131</v>
      </c>
      <c r="G12" s="4" t="s">
        <v>132</v>
      </c>
      <c r="H12" s="4" t="s">
        <v>133</v>
      </c>
      <c r="I12" s="4" t="s">
        <v>89</v>
      </c>
      <c r="J12" s="4" t="s">
        <v>83</v>
      </c>
      <c r="K12" s="4" t="s">
        <v>117</v>
      </c>
      <c r="L12" s="7"/>
      <c r="M12" s="7" t="s">
        <v>77</v>
      </c>
      <c r="N12" s="7"/>
      <c r="O12" s="7"/>
      <c r="P12" s="7"/>
    </row>
    <row r="13" customFormat="false" ht="35.05" hidden="false" customHeight="false" outlineLevel="0" collapsed="false">
      <c r="A13" s="4" t="s">
        <v>134</v>
      </c>
      <c r="B13" s="4" t="s">
        <v>37</v>
      </c>
      <c r="C13" s="4" t="s">
        <v>36</v>
      </c>
      <c r="D13" s="4" t="s">
        <v>135</v>
      </c>
      <c r="E13" s="4" t="s">
        <v>70</v>
      </c>
      <c r="F13" s="4" t="s">
        <v>136</v>
      </c>
      <c r="G13" s="4" t="s">
        <v>137</v>
      </c>
      <c r="H13" s="4" t="s">
        <v>138</v>
      </c>
      <c r="I13" s="4" t="s">
        <v>74</v>
      </c>
      <c r="J13" s="4" t="s">
        <v>83</v>
      </c>
      <c r="K13" s="4" t="s">
        <v>76</v>
      </c>
      <c r="L13" s="7"/>
      <c r="M13" s="7" t="s">
        <v>77</v>
      </c>
      <c r="N13" s="7"/>
      <c r="O13" s="7"/>
      <c r="P13" s="7"/>
    </row>
    <row r="14" customFormat="false" ht="35.05" hidden="false" customHeight="false" outlineLevel="0" collapsed="false">
      <c r="A14" s="4" t="s">
        <v>139</v>
      </c>
      <c r="B14" s="4" t="s">
        <v>37</v>
      </c>
      <c r="C14" s="4" t="s">
        <v>36</v>
      </c>
      <c r="D14" s="4" t="s">
        <v>140</v>
      </c>
      <c r="E14" s="4" t="s">
        <v>70</v>
      </c>
      <c r="F14" s="4" t="s">
        <v>141</v>
      </c>
      <c r="G14" s="4" t="s">
        <v>142</v>
      </c>
      <c r="H14" s="4" t="s">
        <v>143</v>
      </c>
      <c r="I14" s="4" t="s">
        <v>89</v>
      </c>
      <c r="J14" s="4" t="s">
        <v>83</v>
      </c>
      <c r="K14" s="4" t="s">
        <v>76</v>
      </c>
      <c r="L14" s="7"/>
      <c r="M14" s="7" t="s">
        <v>77</v>
      </c>
      <c r="N14" s="7"/>
      <c r="O14" s="7"/>
      <c r="P14" s="7"/>
    </row>
    <row r="15" customFormat="false" ht="35.05" hidden="false" customHeight="false" outlineLevel="0" collapsed="false">
      <c r="A15" s="4" t="s">
        <v>144</v>
      </c>
      <c r="B15" s="4" t="s">
        <v>37</v>
      </c>
      <c r="C15" s="4" t="s">
        <v>36</v>
      </c>
      <c r="D15" s="4" t="s">
        <v>145</v>
      </c>
      <c r="E15" s="4" t="s">
        <v>70</v>
      </c>
      <c r="F15" s="4" t="s">
        <v>146</v>
      </c>
      <c r="G15" s="4" t="s">
        <v>147</v>
      </c>
      <c r="H15" s="4" t="s">
        <v>143</v>
      </c>
      <c r="I15" s="4" t="s">
        <v>89</v>
      </c>
      <c r="J15" s="4" t="s">
        <v>83</v>
      </c>
      <c r="K15" s="4" t="s">
        <v>76</v>
      </c>
      <c r="L15" s="7"/>
      <c r="M15" s="7" t="s">
        <v>77</v>
      </c>
      <c r="N15" s="7"/>
      <c r="O15" s="7"/>
      <c r="P15" s="7"/>
    </row>
    <row r="16" customFormat="false" ht="35.05" hidden="false" customHeight="false" outlineLevel="0" collapsed="false">
      <c r="A16" s="4" t="s">
        <v>148</v>
      </c>
      <c r="B16" s="4" t="s">
        <v>37</v>
      </c>
      <c r="C16" s="4" t="s">
        <v>36</v>
      </c>
      <c r="D16" s="4" t="s">
        <v>149</v>
      </c>
      <c r="E16" s="4" t="s">
        <v>70</v>
      </c>
      <c r="F16" s="4" t="s">
        <v>150</v>
      </c>
      <c r="G16" s="4" t="s">
        <v>151</v>
      </c>
      <c r="H16" s="4" t="s">
        <v>143</v>
      </c>
      <c r="I16" s="4" t="s">
        <v>89</v>
      </c>
      <c r="J16" s="4" t="s">
        <v>83</v>
      </c>
      <c r="K16" s="4" t="s">
        <v>128</v>
      </c>
      <c r="L16" s="7"/>
      <c r="M16" s="7" t="s">
        <v>77</v>
      </c>
      <c r="N16" s="7"/>
      <c r="O16" s="7"/>
      <c r="P16" s="7"/>
    </row>
    <row r="17" customFormat="false" ht="35.05" hidden="false" customHeight="false" outlineLevel="0" collapsed="false">
      <c r="A17" s="4" t="s">
        <v>152</v>
      </c>
      <c r="B17" s="4" t="s">
        <v>37</v>
      </c>
      <c r="C17" s="4" t="s">
        <v>36</v>
      </c>
      <c r="D17" s="4" t="s">
        <v>153</v>
      </c>
      <c r="E17" s="4" t="s">
        <v>70</v>
      </c>
      <c r="F17" s="4" t="s">
        <v>154</v>
      </c>
      <c r="G17" s="4" t="s">
        <v>155</v>
      </c>
      <c r="H17" s="4" t="s">
        <v>156</v>
      </c>
      <c r="I17" s="4" t="s">
        <v>74</v>
      </c>
      <c r="J17" s="4" t="s">
        <v>83</v>
      </c>
      <c r="K17" s="4" t="s">
        <v>128</v>
      </c>
      <c r="L17" s="7"/>
      <c r="M17" s="7" t="s">
        <v>77</v>
      </c>
      <c r="N17" s="7"/>
      <c r="O17" s="7"/>
      <c r="P17" s="7"/>
    </row>
    <row r="18" customFormat="false" ht="35.05" hidden="false" customHeight="false" outlineLevel="0" collapsed="false">
      <c r="A18" s="4" t="s">
        <v>157</v>
      </c>
      <c r="B18" s="4" t="s">
        <v>40</v>
      </c>
      <c r="C18" s="4" t="s">
        <v>39</v>
      </c>
      <c r="D18" s="4" t="s">
        <v>158</v>
      </c>
      <c r="E18" s="4" t="s">
        <v>70</v>
      </c>
      <c r="F18" s="4" t="s">
        <v>159</v>
      </c>
      <c r="G18" s="4" t="s">
        <v>160</v>
      </c>
      <c r="H18" s="4" t="s">
        <v>161</v>
      </c>
      <c r="I18" s="4" t="s">
        <v>115</v>
      </c>
      <c r="J18" s="4" t="s">
        <v>116</v>
      </c>
      <c r="K18" s="4" t="s">
        <v>76</v>
      </c>
      <c r="L18" s="7"/>
      <c r="M18" s="7" t="s">
        <v>77</v>
      </c>
      <c r="N18" s="7"/>
      <c r="O18" s="7"/>
      <c r="P18" s="7"/>
    </row>
    <row r="19" customFormat="false" ht="35.05" hidden="false" customHeight="false" outlineLevel="0" collapsed="false">
      <c r="A19" s="4" t="s">
        <v>162</v>
      </c>
      <c r="B19" s="4" t="s">
        <v>40</v>
      </c>
      <c r="C19" s="4" t="s">
        <v>39</v>
      </c>
      <c r="D19" s="4" t="s">
        <v>163</v>
      </c>
      <c r="E19" s="4" t="s">
        <v>70</v>
      </c>
      <c r="F19" s="4" t="s">
        <v>164</v>
      </c>
      <c r="G19" s="4" t="s">
        <v>165</v>
      </c>
      <c r="H19" s="4" t="s">
        <v>109</v>
      </c>
      <c r="I19" s="4" t="s">
        <v>115</v>
      </c>
      <c r="J19" s="4" t="s">
        <v>116</v>
      </c>
      <c r="K19" s="4" t="s">
        <v>76</v>
      </c>
      <c r="L19" s="7"/>
      <c r="M19" s="7" t="s">
        <v>77</v>
      </c>
      <c r="N19" s="7"/>
      <c r="O19" s="7"/>
      <c r="P19" s="7"/>
    </row>
    <row r="20" customFormat="false" ht="35.05" hidden="false" customHeight="false" outlineLevel="0" collapsed="false">
      <c r="A20" s="4" t="s">
        <v>166</v>
      </c>
      <c r="B20" s="4" t="s">
        <v>40</v>
      </c>
      <c r="C20" s="4" t="s">
        <v>39</v>
      </c>
      <c r="D20" s="4" t="s">
        <v>167</v>
      </c>
      <c r="E20" s="4" t="s">
        <v>70</v>
      </c>
      <c r="F20" s="4" t="s">
        <v>168</v>
      </c>
      <c r="G20" s="4" t="s">
        <v>169</v>
      </c>
      <c r="H20" s="4" t="s">
        <v>170</v>
      </c>
      <c r="I20" s="4" t="s">
        <v>115</v>
      </c>
      <c r="J20" s="4" t="s">
        <v>116</v>
      </c>
      <c r="K20" s="4" t="s">
        <v>76</v>
      </c>
      <c r="L20" s="7"/>
      <c r="M20" s="7" t="s">
        <v>77</v>
      </c>
      <c r="N20" s="7"/>
      <c r="O20" s="7"/>
      <c r="P20" s="7"/>
    </row>
    <row r="21" customFormat="false" ht="35.05" hidden="false" customHeight="false" outlineLevel="0" collapsed="false">
      <c r="A21" s="4" t="s">
        <v>171</v>
      </c>
      <c r="B21" s="4" t="s">
        <v>40</v>
      </c>
      <c r="C21" s="4" t="s">
        <v>39</v>
      </c>
      <c r="D21" s="4" t="s">
        <v>172</v>
      </c>
      <c r="E21" s="4" t="s">
        <v>70</v>
      </c>
      <c r="F21" s="4" t="s">
        <v>173</v>
      </c>
      <c r="G21" s="4" t="s">
        <v>174</v>
      </c>
      <c r="H21" s="4" t="s">
        <v>175</v>
      </c>
      <c r="I21" s="4" t="s">
        <v>89</v>
      </c>
      <c r="J21" s="4" t="s">
        <v>83</v>
      </c>
      <c r="K21" s="4" t="s">
        <v>76</v>
      </c>
      <c r="L21" s="7"/>
      <c r="M21" s="7" t="s">
        <v>77</v>
      </c>
      <c r="N21" s="7"/>
      <c r="O21" s="7"/>
      <c r="P21" s="7"/>
    </row>
    <row r="22" customFormat="false" ht="35.05" hidden="false" customHeight="false" outlineLevel="0" collapsed="false">
      <c r="A22" s="4" t="s">
        <v>176</v>
      </c>
      <c r="B22" s="4" t="s">
        <v>40</v>
      </c>
      <c r="C22" s="4" t="s">
        <v>39</v>
      </c>
      <c r="D22" s="4" t="s">
        <v>177</v>
      </c>
      <c r="E22" s="4" t="s">
        <v>70</v>
      </c>
      <c r="F22" s="4" t="s">
        <v>178</v>
      </c>
      <c r="G22" s="4" t="s">
        <v>179</v>
      </c>
      <c r="H22" s="4" t="s">
        <v>109</v>
      </c>
      <c r="I22" s="4" t="s">
        <v>89</v>
      </c>
      <c r="J22" s="4" t="s">
        <v>83</v>
      </c>
      <c r="K22" s="4" t="s">
        <v>128</v>
      </c>
      <c r="L22" s="7"/>
      <c r="M22" s="7" t="s">
        <v>77</v>
      </c>
      <c r="N22" s="7"/>
      <c r="O22" s="7"/>
      <c r="P22" s="7"/>
    </row>
    <row r="23" customFormat="false" ht="46.25" hidden="false" customHeight="false" outlineLevel="0" collapsed="false">
      <c r="A23" s="4" t="s">
        <v>180</v>
      </c>
      <c r="B23" s="4" t="s">
        <v>43</v>
      </c>
      <c r="C23" s="4" t="s">
        <v>42</v>
      </c>
      <c r="D23" s="4" t="s">
        <v>181</v>
      </c>
      <c r="E23" s="4" t="s">
        <v>70</v>
      </c>
      <c r="F23" s="4" t="s">
        <v>182</v>
      </c>
      <c r="G23" s="4" t="s">
        <v>183</v>
      </c>
      <c r="H23" s="4" t="s">
        <v>184</v>
      </c>
      <c r="I23" s="4" t="s">
        <v>74</v>
      </c>
      <c r="J23" s="4" t="s">
        <v>75</v>
      </c>
      <c r="K23" s="4" t="s">
        <v>128</v>
      </c>
      <c r="L23" s="7"/>
      <c r="M23" s="7" t="s">
        <v>77</v>
      </c>
      <c r="N23" s="7"/>
      <c r="O23" s="7"/>
      <c r="P23" s="7"/>
    </row>
    <row r="24" customFormat="false" ht="46.25" hidden="false" customHeight="false" outlineLevel="0" collapsed="false">
      <c r="A24" s="4" t="s">
        <v>185</v>
      </c>
      <c r="B24" s="4" t="s">
        <v>43</v>
      </c>
      <c r="C24" s="4" t="s">
        <v>42</v>
      </c>
      <c r="D24" s="4" t="s">
        <v>186</v>
      </c>
      <c r="E24" s="4" t="s">
        <v>70</v>
      </c>
      <c r="F24" s="4" t="s">
        <v>187</v>
      </c>
      <c r="G24" s="4" t="s">
        <v>188</v>
      </c>
      <c r="H24" s="4" t="s">
        <v>189</v>
      </c>
      <c r="I24" s="4" t="s">
        <v>89</v>
      </c>
      <c r="J24" s="4" t="s">
        <v>83</v>
      </c>
      <c r="K24" s="4" t="s">
        <v>128</v>
      </c>
      <c r="L24" s="7"/>
      <c r="M24" s="7" t="s">
        <v>77</v>
      </c>
      <c r="N24" s="7"/>
      <c r="O24" s="7"/>
      <c r="P24" s="7"/>
    </row>
    <row r="25" customFormat="false" ht="46.25" hidden="false" customHeight="false" outlineLevel="0" collapsed="false">
      <c r="A25" s="4" t="s">
        <v>190</v>
      </c>
      <c r="B25" s="4" t="s">
        <v>43</v>
      </c>
      <c r="C25" s="4" t="s">
        <v>42</v>
      </c>
      <c r="D25" s="4" t="s">
        <v>191</v>
      </c>
      <c r="E25" s="4" t="s">
        <v>70</v>
      </c>
      <c r="F25" s="4" t="s">
        <v>192</v>
      </c>
      <c r="G25" s="4" t="s">
        <v>193</v>
      </c>
      <c r="H25" s="4" t="s">
        <v>194</v>
      </c>
      <c r="I25" s="4" t="s">
        <v>89</v>
      </c>
      <c r="J25" s="4" t="s">
        <v>116</v>
      </c>
      <c r="K25" s="4" t="s">
        <v>117</v>
      </c>
      <c r="L25" s="7"/>
      <c r="M25" s="7" t="s">
        <v>77</v>
      </c>
      <c r="N25" s="7"/>
      <c r="O25" s="7"/>
      <c r="P25" s="7"/>
    </row>
    <row r="26" customFormat="false" ht="35.05" hidden="false" customHeight="false" outlineLevel="0" collapsed="false">
      <c r="A26" s="4" t="s">
        <v>195</v>
      </c>
      <c r="B26" s="4" t="s">
        <v>43</v>
      </c>
      <c r="C26" s="4" t="s">
        <v>42</v>
      </c>
      <c r="D26" s="4" t="s">
        <v>196</v>
      </c>
      <c r="E26" s="4" t="s">
        <v>70</v>
      </c>
      <c r="F26" s="4" t="s">
        <v>197</v>
      </c>
      <c r="G26" s="4" t="s">
        <v>198</v>
      </c>
      <c r="H26" s="4" t="s">
        <v>199</v>
      </c>
      <c r="I26" s="4" t="s">
        <v>74</v>
      </c>
      <c r="J26" s="4" t="s">
        <v>75</v>
      </c>
      <c r="K26" s="4" t="s">
        <v>117</v>
      </c>
      <c r="L26" s="7"/>
      <c r="M26" s="7" t="s">
        <v>77</v>
      </c>
      <c r="N26" s="7"/>
      <c r="O26" s="7"/>
      <c r="P26" s="7"/>
    </row>
    <row r="27" customFormat="false" ht="46.25" hidden="false" customHeight="false" outlineLevel="0" collapsed="false">
      <c r="A27" s="4" t="s">
        <v>200</v>
      </c>
      <c r="B27" s="4" t="s">
        <v>46</v>
      </c>
      <c r="C27" s="4" t="s">
        <v>45</v>
      </c>
      <c r="D27" s="4" t="s">
        <v>201</v>
      </c>
      <c r="E27" s="4" t="s">
        <v>70</v>
      </c>
      <c r="F27" s="4" t="s">
        <v>202</v>
      </c>
      <c r="G27" s="4" t="s">
        <v>203</v>
      </c>
      <c r="H27" s="4" t="s">
        <v>204</v>
      </c>
      <c r="I27" s="4" t="s">
        <v>74</v>
      </c>
      <c r="J27" s="4" t="s">
        <v>75</v>
      </c>
      <c r="K27" s="4" t="s">
        <v>128</v>
      </c>
      <c r="L27" s="7"/>
      <c r="M27" s="7" t="s">
        <v>77</v>
      </c>
      <c r="N27" s="7"/>
      <c r="O27" s="7"/>
      <c r="P27" s="7"/>
    </row>
    <row r="28" customFormat="false" ht="35.05" hidden="false" customHeight="false" outlineLevel="0" collapsed="false">
      <c r="A28" s="4" t="s">
        <v>205</v>
      </c>
      <c r="B28" s="4" t="s">
        <v>46</v>
      </c>
      <c r="C28" s="4" t="s">
        <v>45</v>
      </c>
      <c r="D28" s="4" t="s">
        <v>206</v>
      </c>
      <c r="E28" s="4" t="s">
        <v>70</v>
      </c>
      <c r="F28" s="4" t="s">
        <v>207</v>
      </c>
      <c r="G28" s="4" t="s">
        <v>208</v>
      </c>
      <c r="H28" s="4" t="s">
        <v>209</v>
      </c>
      <c r="I28" s="4" t="s">
        <v>74</v>
      </c>
      <c r="J28" s="4" t="s">
        <v>75</v>
      </c>
      <c r="K28" s="4" t="s">
        <v>128</v>
      </c>
      <c r="L28" s="7"/>
      <c r="M28" s="7" t="s">
        <v>77</v>
      </c>
      <c r="N28" s="7"/>
      <c r="O28" s="7"/>
      <c r="P28" s="7"/>
    </row>
    <row r="29" customFormat="false" ht="35.05" hidden="false" customHeight="false" outlineLevel="0" collapsed="false">
      <c r="A29" s="4" t="s">
        <v>210</v>
      </c>
      <c r="B29" s="4" t="s">
        <v>46</v>
      </c>
      <c r="C29" s="4" t="s">
        <v>45</v>
      </c>
      <c r="D29" s="4" t="s">
        <v>211</v>
      </c>
      <c r="E29" s="4" t="s">
        <v>70</v>
      </c>
      <c r="F29" s="4" t="s">
        <v>212</v>
      </c>
      <c r="G29" s="4" t="s">
        <v>213</v>
      </c>
      <c r="H29" s="4" t="s">
        <v>214</v>
      </c>
      <c r="I29" s="4" t="s">
        <v>89</v>
      </c>
      <c r="J29" s="4" t="s">
        <v>83</v>
      </c>
      <c r="K29" s="4" t="s">
        <v>117</v>
      </c>
      <c r="L29" s="7"/>
      <c r="M29" s="7" t="s">
        <v>77</v>
      </c>
      <c r="N29" s="7"/>
      <c r="O29" s="7"/>
      <c r="P29" s="7"/>
    </row>
    <row r="30" customFormat="false" ht="46.25" hidden="false" customHeight="false" outlineLevel="0" collapsed="false">
      <c r="A30" s="4" t="s">
        <v>215</v>
      </c>
      <c r="B30" s="4" t="s">
        <v>46</v>
      </c>
      <c r="C30" s="4" t="s">
        <v>45</v>
      </c>
      <c r="D30" s="4" t="s">
        <v>216</v>
      </c>
      <c r="E30" s="4" t="s">
        <v>70</v>
      </c>
      <c r="F30" s="4" t="s">
        <v>217</v>
      </c>
      <c r="G30" s="4" t="s">
        <v>218</v>
      </c>
      <c r="H30" s="4" t="s">
        <v>219</v>
      </c>
      <c r="I30" s="4" t="s">
        <v>74</v>
      </c>
      <c r="J30" s="4" t="s">
        <v>75</v>
      </c>
      <c r="K30" s="4" t="s">
        <v>128</v>
      </c>
      <c r="L30" s="7"/>
      <c r="M30" s="7" t="s">
        <v>77</v>
      </c>
      <c r="N30" s="7"/>
      <c r="O30" s="7"/>
      <c r="P30" s="7"/>
    </row>
    <row r="31" customFormat="false" ht="46.25" hidden="false" customHeight="false" outlineLevel="0" collapsed="false">
      <c r="A31" s="4" t="s">
        <v>220</v>
      </c>
      <c r="B31" s="4" t="s">
        <v>46</v>
      </c>
      <c r="C31" s="4" t="s">
        <v>45</v>
      </c>
      <c r="D31" s="4" t="s">
        <v>221</v>
      </c>
      <c r="E31" s="4" t="s">
        <v>70</v>
      </c>
      <c r="F31" s="4" t="s">
        <v>222</v>
      </c>
      <c r="G31" s="4" t="s">
        <v>223</v>
      </c>
      <c r="H31" s="4" t="s">
        <v>224</v>
      </c>
      <c r="I31" s="4" t="s">
        <v>74</v>
      </c>
      <c r="J31" s="4" t="s">
        <v>75</v>
      </c>
      <c r="K31" s="4" t="s">
        <v>128</v>
      </c>
      <c r="L31" s="7"/>
      <c r="M31" s="7" t="s">
        <v>77</v>
      </c>
      <c r="N31" s="7"/>
      <c r="O31" s="7"/>
      <c r="P31" s="7"/>
    </row>
    <row r="32" customFormat="false" ht="46.25" hidden="false" customHeight="false" outlineLevel="0" collapsed="false">
      <c r="A32" s="4" t="s">
        <v>225</v>
      </c>
      <c r="B32" s="4" t="s">
        <v>46</v>
      </c>
      <c r="C32" s="4" t="s">
        <v>45</v>
      </c>
      <c r="D32" s="4" t="s">
        <v>226</v>
      </c>
      <c r="E32" s="4" t="s">
        <v>70</v>
      </c>
      <c r="F32" s="4" t="s">
        <v>227</v>
      </c>
      <c r="G32" s="4" t="s">
        <v>228</v>
      </c>
      <c r="H32" s="4" t="s">
        <v>229</v>
      </c>
      <c r="I32" s="4" t="s">
        <v>89</v>
      </c>
      <c r="J32" s="4" t="s">
        <v>83</v>
      </c>
      <c r="K32" s="4" t="s">
        <v>117</v>
      </c>
      <c r="L32" s="7"/>
      <c r="M32" s="7" t="s">
        <v>77</v>
      </c>
      <c r="N32" s="7"/>
      <c r="O32" s="7"/>
      <c r="P32" s="7"/>
    </row>
    <row r="33" customFormat="false" ht="35.05" hidden="false" customHeight="false" outlineLevel="0" collapsed="false">
      <c r="A33" s="4" t="s">
        <v>230</v>
      </c>
      <c r="B33" s="4" t="s">
        <v>49</v>
      </c>
      <c r="C33" s="4" t="s">
        <v>48</v>
      </c>
      <c r="D33" s="4" t="s">
        <v>231</v>
      </c>
      <c r="E33" s="4" t="s">
        <v>70</v>
      </c>
      <c r="F33" s="4" t="s">
        <v>232</v>
      </c>
      <c r="G33" s="4" t="s">
        <v>233</v>
      </c>
      <c r="H33" s="4" t="s">
        <v>234</v>
      </c>
      <c r="I33" s="4" t="s">
        <v>74</v>
      </c>
      <c r="J33" s="4" t="s">
        <v>75</v>
      </c>
      <c r="K33" s="4" t="s">
        <v>117</v>
      </c>
      <c r="L33" s="7"/>
      <c r="M33" s="7" t="s">
        <v>77</v>
      </c>
      <c r="N33" s="7"/>
      <c r="O33" s="7"/>
      <c r="P33" s="7"/>
    </row>
    <row r="34" customFormat="false" ht="35.05" hidden="false" customHeight="false" outlineLevel="0" collapsed="false">
      <c r="A34" s="4" t="s">
        <v>235</v>
      </c>
      <c r="B34" s="4" t="s">
        <v>49</v>
      </c>
      <c r="C34" s="4" t="s">
        <v>48</v>
      </c>
      <c r="D34" s="4" t="s">
        <v>236</v>
      </c>
      <c r="E34" s="4" t="s">
        <v>70</v>
      </c>
      <c r="F34" s="4" t="s">
        <v>237</v>
      </c>
      <c r="G34" s="4" t="s">
        <v>198</v>
      </c>
      <c r="H34" s="4" t="s">
        <v>238</v>
      </c>
      <c r="I34" s="4" t="s">
        <v>89</v>
      </c>
      <c r="J34" s="4" t="s">
        <v>75</v>
      </c>
      <c r="K34" s="4" t="s">
        <v>128</v>
      </c>
      <c r="L34" s="7"/>
      <c r="M34" s="7" t="s">
        <v>77</v>
      </c>
      <c r="N34" s="7"/>
      <c r="O34" s="7"/>
      <c r="P34" s="7"/>
    </row>
    <row r="35" customFormat="false" ht="35.05" hidden="false" customHeight="false" outlineLevel="0" collapsed="false">
      <c r="A35" s="4" t="s">
        <v>239</v>
      </c>
      <c r="B35" s="4" t="s">
        <v>49</v>
      </c>
      <c r="C35" s="4" t="s">
        <v>48</v>
      </c>
      <c r="D35" s="4" t="s">
        <v>240</v>
      </c>
      <c r="E35" s="4" t="s">
        <v>70</v>
      </c>
      <c r="F35" s="4" t="s">
        <v>241</v>
      </c>
      <c r="G35" s="4" t="s">
        <v>242</v>
      </c>
      <c r="H35" s="4" t="s">
        <v>243</v>
      </c>
      <c r="I35" s="4" t="s">
        <v>74</v>
      </c>
      <c r="J35" s="4" t="s">
        <v>75</v>
      </c>
      <c r="K35" s="4" t="s">
        <v>76</v>
      </c>
      <c r="L35" s="7"/>
      <c r="M35" s="7" t="s">
        <v>77</v>
      </c>
      <c r="N35" s="7"/>
      <c r="O35" s="7"/>
      <c r="P35" s="7"/>
    </row>
    <row r="36" customFormat="false" ht="35.05" hidden="false" customHeight="false" outlineLevel="0" collapsed="false">
      <c r="A36" s="4" t="s">
        <v>244</v>
      </c>
      <c r="B36" s="4" t="s">
        <v>49</v>
      </c>
      <c r="C36" s="4" t="s">
        <v>48</v>
      </c>
      <c r="D36" s="4" t="s">
        <v>245</v>
      </c>
      <c r="E36" s="4" t="s">
        <v>70</v>
      </c>
      <c r="F36" s="4" t="s">
        <v>246</v>
      </c>
      <c r="G36" s="4" t="s">
        <v>247</v>
      </c>
      <c r="H36" s="4" t="s">
        <v>248</v>
      </c>
      <c r="I36" s="4" t="s">
        <v>89</v>
      </c>
      <c r="J36" s="4" t="s">
        <v>75</v>
      </c>
      <c r="K36" s="4" t="s">
        <v>76</v>
      </c>
      <c r="L36" s="7"/>
      <c r="M36" s="7" t="s">
        <v>77</v>
      </c>
      <c r="N36" s="7"/>
      <c r="O36" s="7"/>
      <c r="P36" s="7"/>
    </row>
    <row r="37" customFormat="false" ht="35.05" hidden="false" customHeight="false" outlineLevel="0" collapsed="false">
      <c r="A37" s="4" t="s">
        <v>249</v>
      </c>
      <c r="B37" s="4" t="s">
        <v>52</v>
      </c>
      <c r="C37" s="4" t="s">
        <v>51</v>
      </c>
      <c r="D37" s="4" t="s">
        <v>250</v>
      </c>
      <c r="E37" s="4" t="s">
        <v>70</v>
      </c>
      <c r="F37" s="4" t="s">
        <v>251</v>
      </c>
      <c r="G37" s="4" t="s">
        <v>252</v>
      </c>
      <c r="H37" s="4" t="s">
        <v>253</v>
      </c>
      <c r="I37" s="4" t="s">
        <v>74</v>
      </c>
      <c r="J37" s="4" t="s">
        <v>75</v>
      </c>
      <c r="K37" s="4" t="s">
        <v>76</v>
      </c>
      <c r="L37" s="7"/>
      <c r="M37" s="7" t="s">
        <v>77</v>
      </c>
      <c r="N37" s="7"/>
      <c r="O37" s="7"/>
      <c r="P37" s="7"/>
    </row>
    <row r="38" customFormat="false" ht="35.05" hidden="false" customHeight="false" outlineLevel="0" collapsed="false">
      <c r="A38" s="4" t="s">
        <v>254</v>
      </c>
      <c r="B38" s="4" t="s">
        <v>52</v>
      </c>
      <c r="C38" s="4" t="s">
        <v>51</v>
      </c>
      <c r="D38" s="4" t="s">
        <v>255</v>
      </c>
      <c r="E38" s="4" t="s">
        <v>70</v>
      </c>
      <c r="F38" s="4" t="s">
        <v>256</v>
      </c>
      <c r="G38" s="4" t="s">
        <v>198</v>
      </c>
      <c r="H38" s="4" t="s">
        <v>257</v>
      </c>
      <c r="I38" s="4" t="s">
        <v>74</v>
      </c>
      <c r="J38" s="4" t="s">
        <v>75</v>
      </c>
      <c r="K38" s="4" t="s">
        <v>128</v>
      </c>
      <c r="L38" s="7"/>
      <c r="M38" s="7" t="s">
        <v>77</v>
      </c>
      <c r="N38" s="7"/>
      <c r="O38" s="7"/>
      <c r="P38" s="7"/>
    </row>
    <row r="39" customFormat="false" ht="35.05" hidden="false" customHeight="false" outlineLevel="0" collapsed="false">
      <c r="A39" s="4" t="s">
        <v>258</v>
      </c>
      <c r="B39" s="4" t="s">
        <v>52</v>
      </c>
      <c r="C39" s="4" t="s">
        <v>51</v>
      </c>
      <c r="D39" s="4" t="s">
        <v>259</v>
      </c>
      <c r="E39" s="4" t="s">
        <v>70</v>
      </c>
      <c r="F39" s="4" t="s">
        <v>260</v>
      </c>
      <c r="G39" s="4" t="s">
        <v>261</v>
      </c>
      <c r="H39" s="4" t="s">
        <v>262</v>
      </c>
      <c r="I39" s="4" t="s">
        <v>89</v>
      </c>
      <c r="J39" s="4" t="s">
        <v>75</v>
      </c>
      <c r="K39" s="4" t="s">
        <v>117</v>
      </c>
      <c r="L39" s="7"/>
      <c r="M39" s="7" t="s">
        <v>77</v>
      </c>
      <c r="N39" s="7"/>
      <c r="O39" s="7"/>
      <c r="P39" s="7"/>
    </row>
    <row r="40" customFormat="false" ht="35.05" hidden="false" customHeight="false" outlineLevel="0" collapsed="false">
      <c r="A40" s="4" t="s">
        <v>263</v>
      </c>
      <c r="B40" s="4" t="s">
        <v>52</v>
      </c>
      <c r="C40" s="4" t="s">
        <v>51</v>
      </c>
      <c r="D40" s="4" t="s">
        <v>264</v>
      </c>
      <c r="E40" s="4" t="s">
        <v>70</v>
      </c>
      <c r="F40" s="4" t="s">
        <v>265</v>
      </c>
      <c r="G40" s="4" t="s">
        <v>198</v>
      </c>
      <c r="H40" s="4" t="s">
        <v>266</v>
      </c>
      <c r="I40" s="4" t="s">
        <v>74</v>
      </c>
      <c r="J40" s="4" t="s">
        <v>75</v>
      </c>
      <c r="K40" s="4" t="s">
        <v>117</v>
      </c>
      <c r="L40" s="7"/>
      <c r="M40" s="7" t="s">
        <v>77</v>
      </c>
      <c r="N40" s="7"/>
      <c r="O40" s="7"/>
      <c r="P40" s="7"/>
    </row>
    <row r="41" customFormat="false" ht="35.05" hidden="false" customHeight="false" outlineLevel="0" collapsed="false">
      <c r="A41" s="4" t="s">
        <v>267</v>
      </c>
      <c r="B41" s="4" t="s">
        <v>52</v>
      </c>
      <c r="C41" s="4" t="s">
        <v>51</v>
      </c>
      <c r="D41" s="4" t="s">
        <v>268</v>
      </c>
      <c r="E41" s="4" t="s">
        <v>70</v>
      </c>
      <c r="F41" s="4" t="s">
        <v>269</v>
      </c>
      <c r="G41" s="4" t="s">
        <v>270</v>
      </c>
      <c r="H41" s="4" t="s">
        <v>271</v>
      </c>
      <c r="I41" s="4" t="s">
        <v>74</v>
      </c>
      <c r="J41" s="4" t="s">
        <v>75</v>
      </c>
      <c r="K41" s="4" t="s">
        <v>117</v>
      </c>
      <c r="L41" s="7"/>
      <c r="M41" s="7" t="s">
        <v>77</v>
      </c>
      <c r="N41" s="7"/>
      <c r="O41" s="7"/>
      <c r="P41" s="7"/>
    </row>
  </sheetData>
  <autoFilter ref="A1:P41"/>
  <dataValidations count="1">
    <dataValidation allowBlank="false" errorStyle="stop" operator="between" showDropDown="false" showErrorMessage="false" showInputMessage="false" sqref="M2:M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8"/>
    <col collapsed="false" customWidth="true" hidden="false" outlineLevel="0" max="3" min="3" style="0" width="16"/>
    <col collapsed="false" customWidth="true" hidden="false" outlineLevel="0" max="4" min="4" style="0" width="11"/>
    <col collapsed="false" customWidth="true" hidden="false" outlineLevel="0" max="5" min="5" style="0" width="22"/>
    <col collapsed="false" customWidth="true" hidden="false" outlineLevel="0" max="6" min="6" style="0" width="48"/>
    <col collapsed="false" customWidth="true" hidden="false" outlineLevel="0" max="8" min="7" style="0" width="34"/>
    <col collapsed="false" customWidth="true" hidden="false" outlineLevel="0" max="9" min="9" style="0" width="11"/>
    <col collapsed="false" customWidth="true" hidden="false" outlineLevel="0" max="10" min="10" style="0" width="10"/>
    <col collapsed="false" customWidth="true" hidden="false" outlineLevel="0" max="11" min="11" style="0" width="11"/>
    <col collapsed="false" customWidth="true" hidden="false" outlineLevel="0" max="12" min="12" style="0" width="13"/>
    <col collapsed="false" customWidth="true" hidden="false" outlineLevel="0" max="13" min="13" style="0" width="22"/>
    <col collapsed="false" customWidth="true" hidden="false" outlineLevel="0" max="14" min="14" style="0" width="24"/>
  </cols>
  <sheetData>
    <row r="1" customFormat="false" ht="15" hidden="false" customHeight="false" outlineLevel="0" collapsed="false">
      <c r="A1" s="6" t="s">
        <v>67</v>
      </c>
      <c r="B1" s="6" t="s">
        <v>272</v>
      </c>
      <c r="C1" s="6" t="s">
        <v>25</v>
      </c>
      <c r="D1" s="6" t="s">
        <v>273</v>
      </c>
      <c r="E1" s="6" t="s">
        <v>274</v>
      </c>
      <c r="F1" s="6" t="s">
        <v>275</v>
      </c>
      <c r="G1" s="6" t="s">
        <v>59</v>
      </c>
      <c r="H1" s="6" t="s">
        <v>63</v>
      </c>
      <c r="I1" s="6" t="s">
        <v>276</v>
      </c>
      <c r="J1" s="6" t="s">
        <v>62</v>
      </c>
      <c r="K1" s="6" t="s">
        <v>64</v>
      </c>
      <c r="L1" s="6" t="s">
        <v>277</v>
      </c>
      <c r="M1" s="6" t="s">
        <v>278</v>
      </c>
      <c r="N1" s="6" t="s">
        <v>279</v>
      </c>
    </row>
    <row r="2" customFormat="false" ht="35.05" hidden="false" customHeight="false" outlineLevel="0" collapsed="false">
      <c r="A2" s="8" t="s">
        <v>280</v>
      </c>
      <c r="B2" s="8" t="s">
        <v>281</v>
      </c>
      <c r="C2" s="8" t="s">
        <v>282</v>
      </c>
      <c r="D2" s="8" t="s">
        <v>283</v>
      </c>
      <c r="E2" s="8" t="s">
        <v>284</v>
      </c>
      <c r="F2" s="8" t="s">
        <v>285</v>
      </c>
      <c r="G2" s="8" t="s">
        <v>286</v>
      </c>
      <c r="H2" s="8" t="s">
        <v>287</v>
      </c>
      <c r="I2" s="8" t="s">
        <v>128</v>
      </c>
      <c r="J2" s="8" t="s">
        <v>128</v>
      </c>
      <c r="K2" s="8" t="s">
        <v>288</v>
      </c>
      <c r="L2" s="8" t="s">
        <v>12</v>
      </c>
      <c r="M2" s="8" t="s">
        <v>289</v>
      </c>
      <c r="N2" s="8" t="s">
        <v>290</v>
      </c>
    </row>
    <row r="3" customFormat="false" ht="15" hidden="false" customHeight="false" outlineLevel="0" collapsed="false">
      <c r="A3" s="7"/>
      <c r="B3" s="7"/>
      <c r="C3" s="7"/>
      <c r="D3" s="7"/>
      <c r="E3" s="7"/>
      <c r="F3" s="7"/>
      <c r="G3" s="7"/>
      <c r="H3" s="7"/>
      <c r="I3" s="7"/>
      <c r="J3" s="7"/>
      <c r="K3" s="7"/>
      <c r="L3" s="7"/>
      <c r="M3" s="7"/>
      <c r="N3" s="7"/>
    </row>
    <row r="4" customFormat="false" ht="15" hidden="false" customHeight="false" outlineLevel="0" collapsed="false">
      <c r="A4" s="7"/>
      <c r="B4" s="7"/>
      <c r="C4" s="7"/>
      <c r="D4" s="7"/>
      <c r="E4" s="7"/>
      <c r="F4" s="7"/>
      <c r="G4" s="7"/>
      <c r="H4" s="7"/>
      <c r="I4" s="7"/>
      <c r="J4" s="7"/>
      <c r="K4" s="7"/>
      <c r="L4" s="7"/>
      <c r="M4" s="7"/>
      <c r="N4" s="7"/>
    </row>
    <row r="5" customFormat="false" ht="15" hidden="false" customHeight="false" outlineLevel="0" collapsed="false">
      <c r="A5" s="7"/>
      <c r="B5" s="7"/>
      <c r="C5" s="7"/>
      <c r="D5" s="7"/>
      <c r="E5" s="7"/>
      <c r="F5" s="7"/>
      <c r="G5" s="7"/>
      <c r="H5" s="7"/>
      <c r="I5" s="7"/>
      <c r="J5" s="7"/>
      <c r="K5" s="7"/>
      <c r="L5" s="7"/>
      <c r="M5" s="7"/>
      <c r="N5" s="7"/>
    </row>
    <row r="6" customFormat="false" ht="15" hidden="false" customHeight="false" outlineLevel="0" collapsed="false">
      <c r="A6" s="7"/>
      <c r="B6" s="7"/>
      <c r="C6" s="7"/>
      <c r="D6" s="7"/>
      <c r="E6" s="7"/>
      <c r="F6" s="7"/>
      <c r="G6" s="7"/>
      <c r="H6" s="7"/>
      <c r="I6" s="7"/>
      <c r="J6" s="7"/>
      <c r="K6" s="7"/>
      <c r="L6" s="7"/>
      <c r="M6" s="7"/>
      <c r="N6" s="7"/>
    </row>
    <row r="7" customFormat="false" ht="15" hidden="false" customHeight="false" outlineLevel="0" collapsed="false">
      <c r="A7" s="7"/>
      <c r="B7" s="7"/>
      <c r="C7" s="7"/>
      <c r="D7" s="7"/>
      <c r="E7" s="7"/>
      <c r="F7" s="7"/>
      <c r="G7" s="7"/>
      <c r="H7" s="7"/>
      <c r="I7" s="7"/>
      <c r="J7" s="7"/>
      <c r="K7" s="7"/>
      <c r="L7" s="7"/>
      <c r="M7" s="7"/>
      <c r="N7" s="7"/>
    </row>
    <row r="8" customFormat="false" ht="15" hidden="false" customHeight="false" outlineLevel="0" collapsed="false">
      <c r="A8" s="7"/>
      <c r="B8" s="7"/>
      <c r="C8" s="7"/>
      <c r="D8" s="7"/>
      <c r="E8" s="7"/>
      <c r="F8" s="7"/>
      <c r="G8" s="7"/>
      <c r="H8" s="7"/>
      <c r="I8" s="7"/>
      <c r="J8" s="7"/>
      <c r="K8" s="7"/>
      <c r="L8" s="7"/>
      <c r="M8" s="7"/>
      <c r="N8" s="7"/>
    </row>
    <row r="9" customFormat="false" ht="15" hidden="false" customHeight="false" outlineLevel="0" collapsed="false">
      <c r="A9" s="7"/>
      <c r="B9" s="7"/>
      <c r="C9" s="7"/>
      <c r="D9" s="7"/>
      <c r="E9" s="7"/>
      <c r="F9" s="7"/>
      <c r="G9" s="7"/>
      <c r="H9" s="7"/>
      <c r="I9" s="7"/>
      <c r="J9" s="7"/>
      <c r="K9" s="7"/>
      <c r="L9" s="7"/>
      <c r="M9" s="7"/>
      <c r="N9" s="7"/>
    </row>
    <row r="10" customFormat="false" ht="15" hidden="false" customHeight="false" outlineLevel="0" collapsed="false">
      <c r="A10" s="7"/>
      <c r="B10" s="7"/>
      <c r="C10" s="7"/>
      <c r="D10" s="7"/>
      <c r="E10" s="7"/>
      <c r="F10" s="7"/>
      <c r="G10" s="7"/>
      <c r="H10" s="7"/>
      <c r="I10" s="7"/>
      <c r="J10" s="7"/>
      <c r="K10" s="7"/>
      <c r="L10" s="7"/>
      <c r="M10" s="7"/>
      <c r="N10" s="7"/>
    </row>
    <row r="11" customFormat="false" ht="15" hidden="false" customHeight="false" outlineLevel="0" collapsed="false">
      <c r="A11" s="7"/>
      <c r="B11" s="7"/>
      <c r="C11" s="7"/>
      <c r="D11" s="7"/>
      <c r="E11" s="7"/>
      <c r="F11" s="7"/>
      <c r="G11" s="7"/>
      <c r="H11" s="7"/>
      <c r="I11" s="7"/>
      <c r="J11" s="7"/>
      <c r="K11" s="7"/>
      <c r="L11" s="7"/>
      <c r="M11" s="7"/>
      <c r="N11" s="7"/>
    </row>
    <row r="12" customFormat="false" ht="15" hidden="false" customHeight="false" outlineLevel="0" collapsed="false">
      <c r="A12" s="7"/>
      <c r="B12" s="7"/>
      <c r="C12" s="7"/>
      <c r="D12" s="7"/>
      <c r="E12" s="7"/>
      <c r="F12" s="7"/>
      <c r="G12" s="7"/>
      <c r="H12" s="7"/>
      <c r="I12" s="7"/>
      <c r="J12" s="7"/>
      <c r="K12" s="7"/>
      <c r="L12" s="7"/>
      <c r="M12" s="7"/>
      <c r="N12" s="7"/>
    </row>
    <row r="13" customFormat="false" ht="15" hidden="false" customHeight="false" outlineLevel="0" collapsed="false">
      <c r="A13" s="7"/>
      <c r="B13" s="7"/>
      <c r="C13" s="7"/>
      <c r="D13" s="7"/>
      <c r="E13" s="7"/>
      <c r="F13" s="7"/>
      <c r="G13" s="7"/>
      <c r="H13" s="7"/>
      <c r="I13" s="7"/>
      <c r="J13" s="7"/>
      <c r="K13" s="7"/>
      <c r="L13" s="7"/>
      <c r="M13" s="7"/>
      <c r="N13" s="7"/>
    </row>
    <row r="14" customFormat="false" ht="15" hidden="false" customHeight="false" outlineLevel="0" collapsed="false">
      <c r="A14" s="7"/>
      <c r="B14" s="7"/>
      <c r="C14" s="7"/>
      <c r="D14" s="7"/>
      <c r="E14" s="7"/>
      <c r="F14" s="7"/>
      <c r="G14" s="7"/>
      <c r="H14" s="7"/>
      <c r="I14" s="7"/>
      <c r="J14" s="7"/>
      <c r="K14" s="7"/>
      <c r="L14" s="7"/>
      <c r="M14" s="7"/>
      <c r="N14" s="7"/>
    </row>
    <row r="15" customFormat="false" ht="15" hidden="false" customHeight="false" outlineLevel="0" collapsed="false">
      <c r="A15" s="7"/>
      <c r="B15" s="7"/>
      <c r="C15" s="7"/>
      <c r="D15" s="7"/>
      <c r="E15" s="7"/>
      <c r="F15" s="7"/>
      <c r="G15" s="7"/>
      <c r="H15" s="7"/>
      <c r="I15" s="7"/>
      <c r="J15" s="7"/>
      <c r="K15" s="7"/>
      <c r="L15" s="7"/>
      <c r="M15" s="7"/>
      <c r="N15" s="7"/>
    </row>
    <row r="16" customFormat="false" ht="15" hidden="false" customHeight="false" outlineLevel="0" collapsed="false">
      <c r="A16" s="7"/>
      <c r="B16" s="7"/>
      <c r="C16" s="7"/>
      <c r="D16" s="7"/>
      <c r="E16" s="7"/>
      <c r="F16" s="7"/>
      <c r="G16" s="7"/>
      <c r="H16" s="7"/>
      <c r="I16" s="7"/>
      <c r="J16" s="7"/>
      <c r="K16" s="7"/>
      <c r="L16" s="7"/>
      <c r="M16" s="7"/>
      <c r="N16" s="7"/>
    </row>
    <row r="17" customFormat="false" ht="15" hidden="false" customHeight="false" outlineLevel="0" collapsed="false">
      <c r="A17" s="7"/>
      <c r="B17" s="7"/>
      <c r="C17" s="7"/>
      <c r="D17" s="7"/>
      <c r="E17" s="7"/>
      <c r="F17" s="7"/>
      <c r="G17" s="7"/>
      <c r="H17" s="7"/>
      <c r="I17" s="7"/>
      <c r="J17" s="7"/>
      <c r="K17" s="7"/>
      <c r="L17" s="7"/>
      <c r="M17" s="7"/>
      <c r="N17" s="7"/>
    </row>
    <row r="18" customFormat="false" ht="15" hidden="false" customHeight="false" outlineLevel="0" collapsed="false">
      <c r="A18" s="7"/>
      <c r="B18" s="7"/>
      <c r="C18" s="7"/>
      <c r="D18" s="7"/>
      <c r="E18" s="7"/>
      <c r="F18" s="7"/>
      <c r="G18" s="7"/>
      <c r="H18" s="7"/>
      <c r="I18" s="7"/>
      <c r="J18" s="7"/>
      <c r="K18" s="7"/>
      <c r="L18" s="7"/>
      <c r="M18" s="7"/>
      <c r="N18" s="7"/>
    </row>
    <row r="19" customFormat="false" ht="15" hidden="false" customHeight="false" outlineLevel="0" collapsed="false">
      <c r="A19" s="7"/>
      <c r="B19" s="7"/>
      <c r="C19" s="7"/>
      <c r="D19" s="7"/>
      <c r="E19" s="7"/>
      <c r="F19" s="7"/>
      <c r="G19" s="7"/>
      <c r="H19" s="7"/>
      <c r="I19" s="7"/>
      <c r="J19" s="7"/>
      <c r="K19" s="7"/>
      <c r="L19" s="7"/>
      <c r="M19" s="7"/>
      <c r="N19" s="7"/>
    </row>
    <row r="20" customFormat="false" ht="15" hidden="false" customHeight="false" outlineLevel="0" collapsed="false">
      <c r="A20" s="7"/>
      <c r="B20" s="7"/>
      <c r="C20" s="7"/>
      <c r="D20" s="7"/>
      <c r="E20" s="7"/>
      <c r="F20" s="7"/>
      <c r="G20" s="7"/>
      <c r="H20" s="7"/>
      <c r="I20" s="7"/>
      <c r="J20" s="7"/>
      <c r="K20" s="7"/>
      <c r="L20" s="7"/>
      <c r="M20" s="7"/>
      <c r="N20" s="7"/>
    </row>
    <row r="21" customFormat="false" ht="15" hidden="false" customHeight="false" outlineLevel="0" collapsed="false">
      <c r="A21" s="7"/>
      <c r="B21" s="7"/>
      <c r="C21" s="7"/>
      <c r="D21" s="7"/>
      <c r="E21" s="7"/>
      <c r="F21" s="7"/>
      <c r="G21" s="7"/>
      <c r="H21" s="7"/>
      <c r="I21" s="7"/>
      <c r="J21" s="7"/>
      <c r="K21" s="7"/>
      <c r="L21" s="7"/>
      <c r="M21" s="7"/>
      <c r="N21" s="7"/>
    </row>
    <row r="22" customFormat="false" ht="15" hidden="false" customHeight="false" outlineLevel="0" collapsed="false">
      <c r="A22" s="7"/>
      <c r="B22" s="7"/>
      <c r="C22" s="7"/>
      <c r="D22" s="7"/>
      <c r="E22" s="7"/>
      <c r="F22" s="7"/>
      <c r="G22" s="7"/>
      <c r="H22" s="7"/>
      <c r="I22" s="7"/>
      <c r="J22" s="7"/>
      <c r="K22" s="7"/>
      <c r="L22" s="7"/>
      <c r="M22" s="7"/>
      <c r="N22" s="7"/>
    </row>
    <row r="23" customFormat="false" ht="15" hidden="false" customHeight="false" outlineLevel="0" collapsed="false">
      <c r="A23" s="7"/>
      <c r="B23" s="7"/>
      <c r="C23" s="7"/>
      <c r="D23" s="7"/>
      <c r="E23" s="7"/>
      <c r="F23" s="7"/>
      <c r="G23" s="7"/>
      <c r="H23" s="7"/>
      <c r="I23" s="7"/>
      <c r="J23" s="7"/>
      <c r="K23" s="7"/>
      <c r="L23" s="7"/>
      <c r="M23" s="7"/>
      <c r="N23" s="7"/>
    </row>
    <row r="24" customFormat="false" ht="15" hidden="false" customHeight="false" outlineLevel="0" collapsed="false">
      <c r="A24" s="7"/>
      <c r="B24" s="7"/>
      <c r="C24" s="7"/>
      <c r="D24" s="7"/>
      <c r="E24" s="7"/>
      <c r="F24" s="7"/>
      <c r="G24" s="7"/>
      <c r="H24" s="7"/>
      <c r="I24" s="7"/>
      <c r="J24" s="7"/>
      <c r="K24" s="7"/>
      <c r="L24" s="7"/>
      <c r="M24" s="7"/>
      <c r="N24" s="7"/>
    </row>
    <row r="25" customFormat="false" ht="15" hidden="false" customHeight="false" outlineLevel="0" collapsed="false">
      <c r="A25" s="7"/>
      <c r="B25" s="7"/>
      <c r="C25" s="7"/>
      <c r="D25" s="7"/>
      <c r="E25" s="7"/>
      <c r="F25" s="7"/>
      <c r="G25" s="7"/>
      <c r="H25" s="7"/>
      <c r="I25" s="7"/>
      <c r="J25" s="7"/>
      <c r="K25" s="7"/>
      <c r="L25" s="7"/>
      <c r="M25" s="7"/>
      <c r="N25" s="7"/>
    </row>
    <row r="26" customFormat="false" ht="15" hidden="false" customHeight="false" outlineLevel="0" collapsed="false">
      <c r="A26" s="7"/>
      <c r="B26" s="7"/>
      <c r="C26" s="7"/>
      <c r="D26" s="7"/>
      <c r="E26" s="7"/>
      <c r="F26" s="7"/>
      <c r="G26" s="7"/>
      <c r="H26" s="7"/>
      <c r="I26" s="7"/>
      <c r="J26" s="7"/>
      <c r="K26" s="7"/>
      <c r="L26" s="7"/>
      <c r="M26" s="7"/>
      <c r="N26" s="7"/>
    </row>
    <row r="27" customFormat="false" ht="15" hidden="false" customHeight="false" outlineLevel="0" collapsed="false">
      <c r="A27" s="7"/>
      <c r="B27" s="7"/>
      <c r="C27" s="7"/>
      <c r="D27" s="7"/>
      <c r="E27" s="7"/>
      <c r="F27" s="7"/>
      <c r="G27" s="7"/>
      <c r="H27" s="7"/>
      <c r="I27" s="7"/>
      <c r="J27" s="7"/>
      <c r="K27" s="7"/>
      <c r="L27" s="7"/>
      <c r="M27" s="7"/>
      <c r="N27" s="7"/>
    </row>
    <row r="28" customFormat="false" ht="15" hidden="false" customHeight="false" outlineLevel="0" collapsed="false">
      <c r="A28" s="7"/>
      <c r="B28" s="7"/>
      <c r="C28" s="7"/>
      <c r="D28" s="7"/>
      <c r="E28" s="7"/>
      <c r="F28" s="7"/>
      <c r="G28" s="7"/>
      <c r="H28" s="7"/>
      <c r="I28" s="7"/>
      <c r="J28" s="7"/>
      <c r="K28" s="7"/>
      <c r="L28" s="7"/>
      <c r="M28" s="7"/>
      <c r="N28" s="7"/>
    </row>
    <row r="29" customFormat="false" ht="15" hidden="false" customHeight="false" outlineLevel="0" collapsed="false">
      <c r="A29" s="7"/>
      <c r="B29" s="7"/>
      <c r="C29" s="7"/>
      <c r="D29" s="7"/>
      <c r="E29" s="7"/>
      <c r="F29" s="7"/>
      <c r="G29" s="7"/>
      <c r="H29" s="7"/>
      <c r="I29" s="7"/>
      <c r="J29" s="7"/>
      <c r="K29" s="7"/>
      <c r="L29" s="7"/>
      <c r="M29" s="7"/>
      <c r="N29" s="7"/>
    </row>
    <row r="30" customFormat="false" ht="15" hidden="false" customHeight="false" outlineLevel="0" collapsed="false">
      <c r="A30" s="7"/>
      <c r="B30" s="7"/>
      <c r="C30" s="7"/>
      <c r="D30" s="7"/>
      <c r="E30" s="7"/>
      <c r="F30" s="7"/>
      <c r="G30" s="7"/>
      <c r="H30" s="7"/>
      <c r="I30" s="7"/>
      <c r="J30" s="7"/>
      <c r="K30" s="7"/>
      <c r="L30" s="7"/>
      <c r="M30" s="7"/>
      <c r="N30" s="7"/>
    </row>
    <row r="31" customFormat="false" ht="15" hidden="false" customHeight="false" outlineLevel="0" collapsed="false">
      <c r="A31" s="7"/>
      <c r="B31" s="7"/>
      <c r="C31" s="7"/>
      <c r="D31" s="7"/>
      <c r="E31" s="7"/>
      <c r="F31" s="7"/>
      <c r="G31" s="7"/>
      <c r="H31" s="7"/>
      <c r="I31" s="7"/>
      <c r="J31" s="7"/>
      <c r="K31" s="7"/>
      <c r="L31" s="7"/>
      <c r="M31" s="7"/>
      <c r="N31" s="7"/>
    </row>
    <row r="32" customFormat="false" ht="15" hidden="false" customHeight="false" outlineLevel="0" collapsed="false">
      <c r="A32" s="7"/>
      <c r="B32" s="7"/>
      <c r="C32" s="7"/>
      <c r="D32" s="7"/>
      <c r="E32" s="7"/>
      <c r="F32" s="7"/>
      <c r="G32" s="7"/>
      <c r="H32" s="7"/>
      <c r="I32" s="7"/>
      <c r="J32" s="7"/>
      <c r="K32" s="7"/>
      <c r="L32" s="7"/>
      <c r="M32" s="7"/>
      <c r="N32" s="7"/>
    </row>
    <row r="33" customFormat="false" ht="15" hidden="false" customHeight="false" outlineLevel="0" collapsed="false">
      <c r="A33" s="7"/>
      <c r="B33" s="7"/>
      <c r="C33" s="7"/>
      <c r="D33" s="7"/>
      <c r="E33" s="7"/>
      <c r="F33" s="7"/>
      <c r="G33" s="7"/>
      <c r="H33" s="7"/>
      <c r="I33" s="7"/>
      <c r="J33" s="7"/>
      <c r="K33" s="7"/>
      <c r="L33" s="7"/>
      <c r="M33" s="7"/>
      <c r="N33" s="7"/>
    </row>
    <row r="34" customFormat="false" ht="15" hidden="false" customHeight="false" outlineLevel="0" collapsed="false">
      <c r="A34" s="7"/>
      <c r="B34" s="7"/>
      <c r="C34" s="7"/>
      <c r="D34" s="7"/>
      <c r="E34" s="7"/>
      <c r="F34" s="7"/>
      <c r="G34" s="7"/>
      <c r="H34" s="7"/>
      <c r="I34" s="7"/>
      <c r="J34" s="7"/>
      <c r="K34" s="7"/>
      <c r="L34" s="7"/>
      <c r="M34" s="7"/>
      <c r="N34" s="7"/>
    </row>
    <row r="35" customFormat="false" ht="15" hidden="false" customHeight="false" outlineLevel="0" collapsed="false">
      <c r="A35" s="7"/>
      <c r="B35" s="7"/>
      <c r="C35" s="7"/>
      <c r="D35" s="7"/>
      <c r="E35" s="7"/>
      <c r="F35" s="7"/>
      <c r="G35" s="7"/>
      <c r="H35" s="7"/>
      <c r="I35" s="7"/>
      <c r="J35" s="7"/>
      <c r="K35" s="7"/>
      <c r="L35" s="7"/>
      <c r="M35" s="7"/>
      <c r="N35" s="7"/>
    </row>
    <row r="36" customFormat="false" ht="15" hidden="false" customHeight="false" outlineLevel="0" collapsed="false">
      <c r="A36" s="7"/>
      <c r="B36" s="7"/>
      <c r="C36" s="7"/>
      <c r="D36" s="7"/>
      <c r="E36" s="7"/>
      <c r="F36" s="7"/>
      <c r="G36" s="7"/>
      <c r="H36" s="7"/>
      <c r="I36" s="7"/>
      <c r="J36" s="7"/>
      <c r="K36" s="7"/>
      <c r="L36" s="7"/>
      <c r="M36" s="7"/>
      <c r="N36" s="7"/>
    </row>
    <row r="37" customFormat="false" ht="15" hidden="false" customHeight="false" outlineLevel="0" collapsed="false">
      <c r="A37" s="7"/>
      <c r="B37" s="7"/>
      <c r="C37" s="7"/>
      <c r="D37" s="7"/>
      <c r="E37" s="7"/>
      <c r="F37" s="7"/>
      <c r="G37" s="7"/>
      <c r="H37" s="7"/>
      <c r="I37" s="7"/>
      <c r="J37" s="7"/>
      <c r="K37" s="7"/>
      <c r="L37" s="7"/>
      <c r="M37" s="7"/>
      <c r="N37" s="7"/>
    </row>
    <row r="38" customFormat="false" ht="15" hidden="false" customHeight="false" outlineLevel="0" collapsed="false">
      <c r="A38" s="7"/>
      <c r="B38" s="7"/>
      <c r="C38" s="7"/>
      <c r="D38" s="7"/>
      <c r="E38" s="7"/>
      <c r="F38" s="7"/>
      <c r="G38" s="7"/>
      <c r="H38" s="7"/>
      <c r="I38" s="7"/>
      <c r="J38" s="7"/>
      <c r="K38" s="7"/>
      <c r="L38" s="7"/>
      <c r="M38" s="7"/>
      <c r="N38" s="7"/>
    </row>
    <row r="39" customFormat="false" ht="15" hidden="false" customHeight="false" outlineLevel="0" collapsed="false">
      <c r="A39" s="7"/>
      <c r="B39" s="7"/>
      <c r="C39" s="7"/>
      <c r="D39" s="7"/>
      <c r="E39" s="7"/>
      <c r="F39" s="7"/>
      <c r="G39" s="7"/>
      <c r="H39" s="7"/>
      <c r="I39" s="7"/>
      <c r="J39" s="7"/>
      <c r="K39" s="7"/>
      <c r="L39" s="7"/>
      <c r="M39" s="7"/>
      <c r="N39" s="7"/>
    </row>
  </sheetData>
  <dataValidations count="3">
    <dataValidation allowBlank="true" errorStyle="stop" operator="between" showDropDown="false" showErrorMessage="false" showInputMessage="false" sqref="I3:I200" type="list">
      <formula1>"Critical,High,Medium,Low"</formula1>
      <formula2>0</formula2>
    </dataValidation>
    <dataValidation allowBlank="true" errorStyle="stop" operator="between" showDropDown="false" showErrorMessage="false" showInputMessage="false" sqref="J3:J200" type="list">
      <formula1>"High,Medium,Low"</formula1>
      <formula2>0</formula2>
    </dataValidation>
    <dataValidation allowBlank="true" errorStyle="stop" operator="between" showDropDown="false" showErrorMessage="false" showInputMessage="false" sqref="K3:K200" type="list">
      <formula1>"New,Assigned,Fixed,Retest,Closed,Reopened"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7" min="2" style="0" width="10"/>
  </cols>
  <sheetData>
    <row r="1" customFormat="false" ht="16.15" hidden="false" customHeight="false" outlineLevel="0" collapsed="false">
      <c r="A1" s="9" t="s">
        <v>291</v>
      </c>
      <c r="B1" s="2"/>
      <c r="C1" s="2"/>
      <c r="D1" s="2"/>
      <c r="E1" s="2"/>
      <c r="F1" s="2"/>
      <c r="G1" s="2"/>
    </row>
    <row r="2" customFormat="false" ht="15" hidden="false" customHeight="false" outlineLevel="0" collapsed="false">
      <c r="A2" s="2"/>
      <c r="B2" s="2"/>
      <c r="C2" s="2"/>
      <c r="D2" s="2"/>
      <c r="E2" s="2"/>
      <c r="F2" s="2"/>
      <c r="G2" s="2"/>
    </row>
    <row r="3" customFormat="false" ht="15" hidden="false" customHeight="false" outlineLevel="0" collapsed="false">
      <c r="A3" s="6" t="s">
        <v>25</v>
      </c>
      <c r="B3" s="6" t="s">
        <v>292</v>
      </c>
      <c r="C3" s="6" t="s">
        <v>293</v>
      </c>
      <c r="D3" s="6" t="s">
        <v>294</v>
      </c>
      <c r="E3" s="6" t="s">
        <v>295</v>
      </c>
      <c r="F3" s="6" t="s">
        <v>77</v>
      </c>
      <c r="G3" s="6" t="s">
        <v>296</v>
      </c>
    </row>
    <row r="4" customFormat="false" ht="15" hidden="false" customHeight="false" outlineLevel="0" collapsed="false">
      <c r="A4" s="4" t="s">
        <v>29</v>
      </c>
      <c r="B4" s="4" t="n">
        <f aca="false">COUNTIF('Test Cases'!$B$2:$B$200,A4)</f>
        <v>7</v>
      </c>
      <c r="C4" s="4" t="n">
        <f aca="false">COUNTIFS('Test Cases'!$B$2:$B$200,$A4,'Test Cases'!$M$2:$M$200,"Pass")</f>
        <v>0</v>
      </c>
      <c r="D4" s="4" t="n">
        <f aca="false">COUNTIFS('Test Cases'!$B$2:$B$200,$A4,'Test Cases'!$M$2:$M$200,"Fail")</f>
        <v>0</v>
      </c>
      <c r="E4" s="4" t="n">
        <f aca="false">COUNTIFS('Test Cases'!$B$2:$B$200,$A4,'Test Cases'!$M$2:$M$200,"Blocked")</f>
        <v>0</v>
      </c>
      <c r="F4" s="4" t="n">
        <f aca="false">COUNTIFS('Test Cases'!$B$2:$B$200,$A4,'Test Cases'!$M$2:$M$200,"Not Run")</f>
        <v>7</v>
      </c>
      <c r="G4" s="10" t="n">
        <f aca="false">IF(B4=0,0,C4/B4)</f>
        <v>0</v>
      </c>
    </row>
    <row r="5" customFormat="false" ht="15" hidden="false" customHeight="false" outlineLevel="0" collapsed="false">
      <c r="A5" s="4" t="s">
        <v>34</v>
      </c>
      <c r="B5" s="4" t="n">
        <f aca="false">COUNTIF('Test Cases'!$B$2:$B$200,A5)</f>
        <v>4</v>
      </c>
      <c r="C5" s="4" t="n">
        <f aca="false">COUNTIFS('Test Cases'!$B$2:$B$200,$A5,'Test Cases'!$M$2:$M$200,"Pass")</f>
        <v>0</v>
      </c>
      <c r="D5" s="4" t="n">
        <f aca="false">COUNTIFS('Test Cases'!$B$2:$B$200,$A5,'Test Cases'!$M$2:$M$200,"Fail")</f>
        <v>0</v>
      </c>
      <c r="E5" s="4" t="n">
        <f aca="false">COUNTIFS('Test Cases'!$B$2:$B$200,$A5,'Test Cases'!$M$2:$M$200,"Blocked")</f>
        <v>0</v>
      </c>
      <c r="F5" s="4" t="n">
        <f aca="false">COUNTIFS('Test Cases'!$B$2:$B$200,$A5,'Test Cases'!$M$2:$M$200,"Not Run")</f>
        <v>4</v>
      </c>
      <c r="G5" s="10" t="n">
        <f aca="false">IF(B5=0,0,C5/B5)</f>
        <v>0</v>
      </c>
    </row>
    <row r="6" customFormat="false" ht="15" hidden="false" customHeight="false" outlineLevel="0" collapsed="false">
      <c r="A6" s="4" t="s">
        <v>37</v>
      </c>
      <c r="B6" s="4" t="n">
        <f aca="false">COUNTIF('Test Cases'!$B$2:$B$200,A6)</f>
        <v>5</v>
      </c>
      <c r="C6" s="4" t="n">
        <f aca="false">COUNTIFS('Test Cases'!$B$2:$B$200,$A6,'Test Cases'!$M$2:$M$200,"Pass")</f>
        <v>0</v>
      </c>
      <c r="D6" s="4" t="n">
        <f aca="false">COUNTIFS('Test Cases'!$B$2:$B$200,$A6,'Test Cases'!$M$2:$M$200,"Fail")</f>
        <v>0</v>
      </c>
      <c r="E6" s="4" t="n">
        <f aca="false">COUNTIFS('Test Cases'!$B$2:$B$200,$A6,'Test Cases'!$M$2:$M$200,"Blocked")</f>
        <v>0</v>
      </c>
      <c r="F6" s="4" t="n">
        <f aca="false">COUNTIFS('Test Cases'!$B$2:$B$200,$A6,'Test Cases'!$M$2:$M$200,"Not Run")</f>
        <v>5</v>
      </c>
      <c r="G6" s="10" t="n">
        <f aca="false">IF(B6=0,0,C6/B6)</f>
        <v>0</v>
      </c>
    </row>
    <row r="7" customFormat="false" ht="15" hidden="false" customHeight="false" outlineLevel="0" collapsed="false">
      <c r="A7" s="4" t="s">
        <v>40</v>
      </c>
      <c r="B7" s="4" t="n">
        <f aca="false">COUNTIF('Test Cases'!$B$2:$B$200,A7)</f>
        <v>5</v>
      </c>
      <c r="C7" s="4" t="n">
        <f aca="false">COUNTIFS('Test Cases'!$B$2:$B$200,$A7,'Test Cases'!$M$2:$M$200,"Pass")</f>
        <v>0</v>
      </c>
      <c r="D7" s="4" t="n">
        <f aca="false">COUNTIFS('Test Cases'!$B$2:$B$200,$A7,'Test Cases'!$M$2:$M$200,"Fail")</f>
        <v>0</v>
      </c>
      <c r="E7" s="4" t="n">
        <f aca="false">COUNTIFS('Test Cases'!$B$2:$B$200,$A7,'Test Cases'!$M$2:$M$200,"Blocked")</f>
        <v>0</v>
      </c>
      <c r="F7" s="4" t="n">
        <f aca="false">COUNTIFS('Test Cases'!$B$2:$B$200,$A7,'Test Cases'!$M$2:$M$200,"Not Run")</f>
        <v>5</v>
      </c>
      <c r="G7" s="10" t="n">
        <f aca="false">IF(B7=0,0,C7/B7)</f>
        <v>0</v>
      </c>
    </row>
    <row r="8" customFormat="false" ht="15" hidden="false" customHeight="false" outlineLevel="0" collapsed="false">
      <c r="A8" s="4" t="s">
        <v>43</v>
      </c>
      <c r="B8" s="4" t="n">
        <f aca="false">COUNTIF('Test Cases'!$B$2:$B$200,A8)</f>
        <v>4</v>
      </c>
      <c r="C8" s="4" t="n">
        <f aca="false">COUNTIFS('Test Cases'!$B$2:$B$200,$A8,'Test Cases'!$M$2:$M$200,"Pass")</f>
        <v>0</v>
      </c>
      <c r="D8" s="4" t="n">
        <f aca="false">COUNTIFS('Test Cases'!$B$2:$B$200,$A8,'Test Cases'!$M$2:$M$200,"Fail")</f>
        <v>0</v>
      </c>
      <c r="E8" s="4" t="n">
        <f aca="false">COUNTIFS('Test Cases'!$B$2:$B$200,$A8,'Test Cases'!$M$2:$M$200,"Blocked")</f>
        <v>0</v>
      </c>
      <c r="F8" s="4" t="n">
        <f aca="false">COUNTIFS('Test Cases'!$B$2:$B$200,$A8,'Test Cases'!$M$2:$M$200,"Not Run")</f>
        <v>4</v>
      </c>
      <c r="G8" s="10" t="n">
        <f aca="false">IF(B8=0,0,C8/B8)</f>
        <v>0</v>
      </c>
    </row>
    <row r="9" customFormat="false" ht="15" hidden="false" customHeight="false" outlineLevel="0" collapsed="false">
      <c r="A9" s="4" t="s">
        <v>46</v>
      </c>
      <c r="B9" s="4" t="n">
        <f aca="false">COUNTIF('Test Cases'!$B$2:$B$200,A9)</f>
        <v>6</v>
      </c>
      <c r="C9" s="4" t="n">
        <f aca="false">COUNTIFS('Test Cases'!$B$2:$B$200,$A9,'Test Cases'!$M$2:$M$200,"Pass")</f>
        <v>0</v>
      </c>
      <c r="D9" s="4" t="n">
        <f aca="false">COUNTIFS('Test Cases'!$B$2:$B$200,$A9,'Test Cases'!$M$2:$M$200,"Fail")</f>
        <v>0</v>
      </c>
      <c r="E9" s="4" t="n">
        <f aca="false">COUNTIFS('Test Cases'!$B$2:$B$200,$A9,'Test Cases'!$M$2:$M$200,"Blocked")</f>
        <v>0</v>
      </c>
      <c r="F9" s="4" t="n">
        <f aca="false">COUNTIFS('Test Cases'!$B$2:$B$200,$A9,'Test Cases'!$M$2:$M$200,"Not Run")</f>
        <v>6</v>
      </c>
      <c r="G9" s="10" t="n">
        <f aca="false">IF(B9=0,0,C9/B9)</f>
        <v>0</v>
      </c>
    </row>
    <row r="10" customFormat="false" ht="15" hidden="false" customHeight="false" outlineLevel="0" collapsed="false">
      <c r="A10" s="4" t="s">
        <v>49</v>
      </c>
      <c r="B10" s="4" t="n">
        <f aca="false">COUNTIF('Test Cases'!$B$2:$B$200,A10)</f>
        <v>4</v>
      </c>
      <c r="C10" s="4" t="n">
        <f aca="false">COUNTIFS('Test Cases'!$B$2:$B$200,$A10,'Test Cases'!$M$2:$M$200,"Pass")</f>
        <v>0</v>
      </c>
      <c r="D10" s="4" t="n">
        <f aca="false">COUNTIFS('Test Cases'!$B$2:$B$200,$A10,'Test Cases'!$M$2:$M$200,"Fail")</f>
        <v>0</v>
      </c>
      <c r="E10" s="4" t="n">
        <f aca="false">COUNTIFS('Test Cases'!$B$2:$B$200,$A10,'Test Cases'!$M$2:$M$200,"Blocked")</f>
        <v>0</v>
      </c>
      <c r="F10" s="4" t="n">
        <f aca="false">COUNTIFS('Test Cases'!$B$2:$B$200,$A10,'Test Cases'!$M$2:$M$200,"Not Run")</f>
        <v>4</v>
      </c>
      <c r="G10" s="10" t="n">
        <f aca="false">IF(B10=0,0,C10/B10)</f>
        <v>0</v>
      </c>
    </row>
    <row r="11" customFormat="false" ht="15" hidden="false" customHeight="false" outlineLevel="0" collapsed="false">
      <c r="A11" s="4" t="s">
        <v>52</v>
      </c>
      <c r="B11" s="4" t="n">
        <f aca="false">COUNTIF('Test Cases'!$B$2:$B$200,A11)</f>
        <v>5</v>
      </c>
      <c r="C11" s="4" t="n">
        <f aca="false">COUNTIFS('Test Cases'!$B$2:$B$200,$A11,'Test Cases'!$M$2:$M$200,"Pass")</f>
        <v>0</v>
      </c>
      <c r="D11" s="4" t="n">
        <f aca="false">COUNTIFS('Test Cases'!$B$2:$B$200,$A11,'Test Cases'!$M$2:$M$200,"Fail")</f>
        <v>0</v>
      </c>
      <c r="E11" s="4" t="n">
        <f aca="false">COUNTIFS('Test Cases'!$B$2:$B$200,$A11,'Test Cases'!$M$2:$M$200,"Blocked")</f>
        <v>0</v>
      </c>
      <c r="F11" s="4" t="n">
        <f aca="false">COUNTIFS('Test Cases'!$B$2:$B$200,$A11,'Test Cases'!$M$2:$M$200,"Not Run")</f>
        <v>5</v>
      </c>
      <c r="G11" s="10" t="n">
        <f aca="false">IF(B11=0,0,C11/B11)</f>
        <v>0</v>
      </c>
    </row>
    <row r="12" customFormat="false" ht="15" hidden="false" customHeight="false" outlineLevel="0" collapsed="false">
      <c r="A12" s="3" t="s">
        <v>297</v>
      </c>
      <c r="B12" s="3" t="n">
        <f aca="false">SUM(B4:B11)</f>
        <v>40</v>
      </c>
      <c r="C12" s="3" t="n">
        <f aca="false">SUM(C4:C11)</f>
        <v>0</v>
      </c>
      <c r="D12" s="3" t="n">
        <f aca="false">SUM(D4:D11)</f>
        <v>0</v>
      </c>
      <c r="E12" s="3" t="n">
        <f aca="false">SUM(E4:E11)</f>
        <v>0</v>
      </c>
      <c r="F12" s="3" t="n">
        <f aca="false">SUM(F4:F11)</f>
        <v>40</v>
      </c>
      <c r="G12" s="11" t="n">
        <f aca="false">IF(B12=0,0,C12/B12)</f>
        <v>0</v>
      </c>
    </row>
    <row r="13" customFormat="false" ht="15" hidden="false" customHeight="false" outlineLevel="0" collapsed="false">
      <c r="A13" s="2"/>
      <c r="B13" s="2"/>
      <c r="C13" s="2"/>
      <c r="D13" s="2"/>
      <c r="E13" s="2"/>
      <c r="F13" s="2"/>
      <c r="G13" s="2"/>
    </row>
    <row r="14" customFormat="false" ht="15" hidden="false" customHeight="false" outlineLevel="0" collapsed="false">
      <c r="A14" s="12" t="s">
        <v>298</v>
      </c>
      <c r="B14" s="2"/>
      <c r="C14" s="2"/>
      <c r="D14" s="2"/>
      <c r="E14" s="2"/>
      <c r="F14" s="2"/>
      <c r="G14" s="2"/>
    </row>
    <row r="15" customFormat="false" ht="15" hidden="false" customHeight="false" outlineLevel="0" collapsed="false">
      <c r="A15" s="6" t="s">
        <v>276</v>
      </c>
      <c r="B15" s="6" t="s">
        <v>299</v>
      </c>
      <c r="C15" s="2"/>
      <c r="D15" s="2"/>
      <c r="E15" s="2"/>
      <c r="F15" s="2"/>
      <c r="G15" s="2"/>
    </row>
    <row r="16" customFormat="false" ht="15" hidden="false" customHeight="false" outlineLevel="0" collapsed="false">
      <c r="A16" s="4" t="s">
        <v>300</v>
      </c>
      <c r="B16" s="4" t="n">
        <f aca="false">COUNTIFS('Defect Log'!$I$2:$I$200,A16,'Defect Log'!$A$2:$A$200,"DEF-*")</f>
        <v>0</v>
      </c>
      <c r="C16" s="2"/>
      <c r="D16" s="2"/>
      <c r="E16" s="2"/>
      <c r="F16" s="2"/>
      <c r="G16" s="2"/>
    </row>
    <row r="17" customFormat="false" ht="15" hidden="false" customHeight="false" outlineLevel="0" collapsed="false">
      <c r="A17" s="4" t="s">
        <v>76</v>
      </c>
      <c r="B17" s="4" t="n">
        <f aca="false">COUNTIFS('Defect Log'!$I$2:$I$200,A17,'Defect Log'!$A$2:$A$200,"DEF-*")</f>
        <v>0</v>
      </c>
      <c r="C17" s="2"/>
      <c r="D17" s="2"/>
      <c r="E17" s="2"/>
      <c r="F17" s="2"/>
      <c r="G17" s="2"/>
    </row>
    <row r="18" customFormat="false" ht="15" hidden="false" customHeight="false" outlineLevel="0" collapsed="false">
      <c r="A18" s="4" t="s">
        <v>128</v>
      </c>
      <c r="B18" s="4" t="n">
        <f aca="false">COUNTIFS('Defect Log'!$I$2:$I$200,A18,'Defect Log'!$A$2:$A$200,"DEF-*")</f>
        <v>0</v>
      </c>
      <c r="C18" s="2"/>
      <c r="D18" s="2"/>
      <c r="E18" s="2"/>
      <c r="F18" s="2"/>
      <c r="G18" s="2"/>
    </row>
    <row r="19" customFormat="false" ht="15" hidden="false" customHeight="false" outlineLevel="0" collapsed="false">
      <c r="A19" s="4" t="s">
        <v>117</v>
      </c>
      <c r="B19" s="4" t="n">
        <f aca="false">COUNTIFS('Defect Log'!$I$2:$I$200,A19,'Defect Log'!$A$2:$A$200,"DEF-*")</f>
        <v>0</v>
      </c>
      <c r="C19" s="2"/>
      <c r="D19" s="2"/>
      <c r="E19" s="2"/>
      <c r="F19" s="2"/>
      <c r="G19" s="2"/>
    </row>
    <row r="20" customFormat="false" ht="15" hidden="false" customHeight="false" outlineLevel="0" collapsed="false">
      <c r="A20" s="3" t="s">
        <v>301</v>
      </c>
      <c r="B20" s="3" t="n">
        <f aca="false">SUM(B16:B19)</f>
        <v>0</v>
      </c>
      <c r="C20" s="2"/>
      <c r="D20" s="2"/>
      <c r="E20" s="2"/>
      <c r="F20" s="2"/>
      <c r="G20"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2026-10-09T09:44:02Z</dcterms:created>
  <dc:creator>openpyxl</dc:creator>
  <dc:description/>
  <dc:language>en-US</dc:language>
  <cp:lastModifiedBy/>
  <dcterms:modified xsi:type="dcterms:W3CDTF">2026-10-09T09:44:02Z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